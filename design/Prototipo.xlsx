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theme/theme1.xml" ContentType="application/vnd.openxmlformats-officedocument.theme+xml"/>
  <Override PartName="/xl/tables/table35.xml" ContentType="application/vnd.openxmlformats-officedocument.spreadsheetml.table+xml"/>
  <Override PartName="/xl/sharedStrings.xml" ContentType="application/vnd.openxmlformats-officedocument.spreadsheetml.sharedStrings+xml"/>
  <Override PartName="/xl/tables/table14.xml" ContentType="application/vnd.openxmlformats-officedocument.spreadsheetml.table+xml"/>
  <Override PartName="/xl/tables/table13.xml" ContentType="application/vnd.openxmlformats-officedocument.spreadsheetml.table+xml"/>
  <Override PartName="/xl/tables/table11.xml" ContentType="application/vnd.openxmlformats-officedocument.spreadsheetml.table+xml"/>
  <Override PartName="/xl/tables/table18.xml" ContentType="application/vnd.openxmlformats-officedocument.spreadsheetml.table+xml"/>
  <Override PartName="/xl/tables/table6.xml" ContentType="application/vnd.openxmlformats-officedocument.spreadsheetml.table+xml"/>
  <Override PartName="/xl/tables/table36.xml" ContentType="application/vnd.openxmlformats-officedocument.spreadsheetml.table+xml"/>
  <Override PartName="/xl/workbook.xml" ContentType="application/vnd.openxmlformats-officedocument.spreadsheetml.sheet.main+xml"/>
  <Override PartName="/xl/tables/table23.xml" ContentType="application/vnd.openxmlformats-officedocument.spreadsheetml.table+xml"/>
  <Override PartName="/xl/tables/table28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tables/table22.xml" ContentType="application/vnd.openxmlformats-officedocument.spreadsheetml.table+xml"/>
  <Override PartName="/xl/tables/table31.xml" ContentType="application/vnd.openxmlformats-officedocument.spreadsheetml.table+xml"/>
  <Override PartName="/docProps/app.xml" ContentType="application/vnd.openxmlformats-officedocument.extended-properties+xml"/>
  <Override PartName="/xl/tables/table12.xml" ContentType="application/vnd.openxmlformats-officedocument.spreadsheetml.table+xml"/>
  <Override PartName="/xl/drawings/drawing1.xml" ContentType="application/vnd.openxmlformats-officedocument.drawing+xml"/>
  <Override PartName="/xl/drawings/drawing3.xml" ContentType="application/vnd.openxmlformats-officedocument.drawing+xml"/>
  <Override PartName="/xl/tables/table21.xml" ContentType="application/vnd.openxmlformats-officedocument.spreadsheetml.table+xml"/>
  <Override PartName="/xl/tables/table9.xml" ContentType="application/vnd.openxmlformats-officedocument.spreadsheetml.table+xml"/>
  <Override PartName="/xl/styles.xml" ContentType="application/vnd.openxmlformats-officedocument.spreadsheetml.styles+xml"/>
  <Override PartName="/xl/tables/table16.xml" ContentType="application/vnd.openxmlformats-officedocument.spreadsheetml.table+xml"/>
  <Override PartName="/xl/tables/table10.xml" ContentType="application/vnd.openxmlformats-officedocument.spreadsheetml.table+xml"/>
  <Override PartName="/xl/tables/table1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xl/tables/table26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8.xml" ContentType="application/vnd.openxmlformats-officedocument.spreadsheetml.table+xml"/>
  <Override PartName="/xl/tables/table25.xml" ContentType="application/vnd.openxmlformats-officedocument.spreadsheetml.table+xml"/>
  <Override PartName="/xl/tables/table29.xml" ContentType="application/vnd.openxmlformats-officedocument.spreadsheetml.table+xml"/>
  <Override PartName="/xl/worksheets/sheet3.xml" ContentType="application/vnd.openxmlformats-officedocument.spreadsheetml.worksheet+xml"/>
  <Override PartName="/xl/tables/table32.xml" ContentType="application/vnd.openxmlformats-officedocument.spreadsheetml.table+xml"/>
  <Override PartName="/xl/tables/table27.xml" ContentType="application/vnd.openxmlformats-officedocument.spreadsheetml.table+xml"/>
  <Override PartName="/xl/tables/table30.xml" ContentType="application/vnd.openxmlformats-officedocument.spreadsheetml.table+xml"/>
  <Override PartName="/xl/worksheets/sheet1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5.xml" ContentType="application/vnd.openxmlformats-officedocument.spreadsheetml.table+xml"/>
  <Override PartName="/xl/tables/table17.xml" ContentType="application/vnd.openxmlformats-officedocument.spreadsheetml.table+xml"/>
  <Override PartName="/xl/drawings/drawing4.xml" ContentType="application/vnd.openxmlformats-officedocument.drawing+xml"/>
  <Override PartName="/xl/tables/table24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bookViews>
    <workbookView xWindow="360" yWindow="15" windowWidth="20955" windowHeight="9720" activeTab="3"/>
  </bookViews>
  <sheets>
    <sheet name="Test 1" sheetId="1" state="visible" r:id="rId1"/>
    <sheet name="Test 2" sheetId="2" state="visible" r:id="rId2"/>
    <sheet name="Test 3" sheetId="3" state="visible" r:id="rId3"/>
    <sheet name="Test 4" sheetId="4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<sst xmlns="http://schemas.openxmlformats.org/spreadsheetml/2006/main" count="38" uniqueCount="38">
  <si>
    <t>n</t>
  </si>
  <si>
    <t>x</t>
  </si>
  <si>
    <t>y</t>
  </si>
  <si>
    <t>x^2</t>
  </si>
  <si>
    <t>x*y</t>
  </si>
  <si>
    <t>y^2</t>
  </si>
  <si>
    <t>SUM</t>
  </si>
  <si>
    <t>Xavg</t>
  </si>
  <si>
    <t>Yavg</t>
  </si>
  <si>
    <t xml:space="preserve">x*y SUM</t>
  </si>
  <si>
    <t xml:space="preserve">x average</t>
  </si>
  <si>
    <t xml:space="preserve">y average</t>
  </si>
  <si>
    <t xml:space="preserve">(x*y SUM)-(10*Xavg*Yavg)</t>
  </si>
  <si>
    <t xml:space="preserve">x^2 SUM</t>
  </si>
  <si>
    <t xml:space="preserve">x average^2</t>
  </si>
  <si>
    <t xml:space="preserve">(x^2 SUM)-(10*xavg^2)</t>
  </si>
  <si>
    <t>B1=</t>
  </si>
  <si>
    <t>Yvg</t>
  </si>
  <si>
    <t>B1</t>
  </si>
  <si>
    <t>xavg</t>
  </si>
  <si>
    <t>638.9</t>
  </si>
  <si>
    <t>B0=</t>
  </si>
  <si>
    <t xml:space="preserve">SUM x*y</t>
  </si>
  <si>
    <t xml:space="preserve">SUM x</t>
  </si>
  <si>
    <t xml:space="preserve">SUM y</t>
  </si>
  <si>
    <t xml:space="preserve">10*(SUM x*y)-(SUM x)(SUM y)</t>
  </si>
  <si>
    <t xml:space="preserve">SUM x^2</t>
  </si>
  <si>
    <t xml:space="preserve">(SUM x)^2</t>
  </si>
  <si>
    <t xml:space="preserve">SUM y^2</t>
  </si>
  <si>
    <t xml:space="preserve"> (SUM y)^2</t>
  </si>
  <si>
    <t>xk=</t>
  </si>
  <si>
    <t xml:space="preserve">10*(SUM x^2)-((SUM x)^2)</t>
  </si>
  <si>
    <t xml:space="preserve">10*(SUM y^2)-( (SUM y)^2)</t>
  </si>
  <si>
    <t xml:space="preserve">10749256 * 35227609</t>
  </si>
  <si>
    <t>√3.78671E+14</t>
  </si>
  <si>
    <t>Yk=</t>
  </si>
  <si>
    <t>Rxy=</t>
  </si>
  <si>
    <t>R^2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</si>
</sst>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9">
    <border>
      <left style="none"/>
      <right style="none"/>
      <top style="none"/>
      <bottom style="none"/>
      <diagonal style="none"/>
    </border>
    <border>
      <left style="thin">
        <color theme="8" tint="0"/>
      </left>
      <right style="thin">
        <color theme="8" tint="0"/>
      </right>
      <top style="thin">
        <color theme="8" tint="0"/>
      </top>
      <bottom style="thin">
        <color theme="8" tint="0"/>
      </bottom>
      <diagonal style="none"/>
    </border>
    <border>
      <left style="thin">
        <color theme="8" tint="0"/>
      </left>
      <right style="thin">
        <color theme="8" tint="0"/>
      </right>
      <top style="thin">
        <color theme="8" tint="0"/>
      </top>
      <bottom style="none"/>
      <diagonal style="none"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 style="none"/>
      <diagonal style="none"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 style="none"/>
    </border>
    <border>
      <left style="thin">
        <color theme="5" tint="-0.249977111117893"/>
      </left>
      <right style="thin">
        <color theme="5" tint="-0.249977111117893"/>
      </right>
      <top style="none"/>
      <bottom style="none"/>
      <diagonal style="none"/>
    </border>
    <border>
      <left style="thin">
        <color theme="5" tint="-0.249977111117893"/>
      </left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5">
    <xf fontId="0" fillId="0" borderId="0" numFmtId="0" xfId="0"/>
    <xf fontId="0" fillId="0" borderId="1" numFmtId="0" xfId="0" applyBorder="1" applyAlignment="1">
      <alignment horizontal="center"/>
    </xf>
    <xf fontId="0" fillId="0" borderId="0" numFmtId="0" xfId="0" applyAlignment="1">
      <alignment horizontal="left"/>
    </xf>
    <xf fontId="0" fillId="0" borderId="2" numFmtId="0" xfId="0" applyBorder="1" applyAlignment="1">
      <alignment horizontal="center"/>
    </xf>
    <xf fontId="0" fillId="0" borderId="3" numFmtId="0" xfId="0" applyBorder="1" applyAlignment="1">
      <alignment horizontal="center"/>
    </xf>
    <xf fontId="0" fillId="0" borderId="4" numFmtId="0" xfId="0" applyBorder="1" applyAlignment="1">
      <alignment horizontal="center"/>
    </xf>
    <xf fontId="0" fillId="0" borderId="5" numFmtId="0" xfId="0" applyBorder="1" applyAlignment="1">
      <alignment horizontal="center"/>
    </xf>
    <xf fontId="0" fillId="0" borderId="5" numFmtId="0" xfId="0" applyBorder="1" applyAlignment="1">
      <alignment horizontal="left"/>
    </xf>
    <xf fontId="0" fillId="0" borderId="0" numFmtId="0" xfId="0"/>
    <xf fontId="0" fillId="0" borderId="6" numFmtId="0" xfId="0" applyBorder="1" applyAlignment="1">
      <alignment horizontal="left"/>
    </xf>
    <xf fontId="0" fillId="0" borderId="6" numFmtId="0" xfId="0" applyBorder="1"/>
    <xf fontId="0" fillId="0" borderId="0" numFmtId="0" xfId="0" applyAlignment="1">
      <alignment horizontal="center"/>
    </xf>
    <xf fontId="0" fillId="0" borderId="7" numFmtId="0" xfId="0" applyBorder="1" applyAlignment="1">
      <alignment horizontal="center"/>
    </xf>
    <xf fontId="0" fillId="0" borderId="8" numFmtId="0" xfId="0" applyBorder="1" applyAlignment="1">
      <alignment horizontal="center"/>
    </xf>
    <xf fontId="0" fillId="0" borderId="6" numFmt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8</xdr:col>
      <xdr:colOff>54840</xdr:colOff>
      <xdr:row>11</xdr:row>
      <xdr:rowOff>66386</xdr:rowOff>
    </xdr:from>
    <xdr:ext cx="425832" cy="461818"/>
    <xdr:pic>
      <xdr:nvPicPr>
        <xdr:cNvPr id="724069825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6232483" y="2012207"/>
          <a:ext cx="425832" cy="461818"/>
        </a:xfrm>
        <a:prstGeom prst="rect">
          <a:avLst/>
        </a:prstGeom>
      </xdr:spPr>
    </xdr:pic>
    <xdr:clientData/>
  </xdr:oneCellAnchor>
  <xdr:oneCellAnchor>
    <xdr:from>
      <xdr:col>6</xdr:col>
      <xdr:colOff>78193</xdr:colOff>
      <xdr:row>17</xdr:row>
      <xdr:rowOff>15433</xdr:rowOff>
    </xdr:from>
    <xdr:ext cx="2002679" cy="859732"/>
    <xdr:pic>
      <xdr:nvPicPr>
        <xdr:cNvPr id="331827257" name="image5.png" title="Imagen"/>
        <xdr:cNvPicPr/>
      </xdr:nvPicPr>
      <xdr:blipFill rotWithShape="1">
        <a:blip r:embed="rId2"/>
        <a:stretch/>
      </xdr:blipFill>
      <xdr:spPr bwMode="auto">
        <a:xfrm flipH="0" flipV="0">
          <a:off x="5568827" y="3038033"/>
          <a:ext cx="2002679" cy="859732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65492</xdr:colOff>
      <xdr:row>23</xdr:row>
      <xdr:rowOff>173490</xdr:rowOff>
    </xdr:from>
    <xdr:ext cx="1546905" cy="258534"/>
    <xdr:pic>
      <xdr:nvPicPr>
        <xdr:cNvPr id="954637416" name=""/>
        <xdr:cNvPicPr>
          <a:picLocks noChangeAspect="1"/>
        </xdr:cNvPicPr>
      </xdr:nvPicPr>
      <xdr:blipFill rotWithShape="1">
        <a:blip r:embed="rId3"/>
        <a:stretch/>
      </xdr:blipFill>
      <xdr:spPr bwMode="auto">
        <a:xfrm flipH="0" flipV="0">
          <a:off x="3887399" y="4281147"/>
          <a:ext cx="1546905" cy="258535"/>
        </a:xfrm>
        <a:prstGeom prst="rect">
          <a:avLst/>
        </a:prstGeom>
      </xdr:spPr>
    </xdr:pic>
    <xdr:clientData/>
  </xdr:oneCellAnchor>
  <xdr:oneCellAnchor>
    <xdr:from>
      <xdr:col>3</xdr:col>
      <xdr:colOff>30681</xdr:colOff>
      <xdr:row>29</xdr:row>
      <xdr:rowOff>81642</xdr:rowOff>
    </xdr:from>
    <xdr:ext cx="1110050" cy="283625"/>
    <xdr:pic>
      <xdr:nvPicPr>
        <xdr:cNvPr id="573217965" name=""/>
        <xdr:cNvPicPr>
          <a:picLocks noChangeAspect="1"/>
        </xdr:cNvPicPr>
      </xdr:nvPicPr>
      <xdr:blipFill rotWithShape="1">
        <a:blip r:embed="rId4"/>
        <a:stretch/>
      </xdr:blipFill>
      <xdr:spPr bwMode="auto">
        <a:xfrm flipH="0" flipV="0">
          <a:off x="2226722" y="5299225"/>
          <a:ext cx="1110050" cy="283625"/>
        </a:xfrm>
        <a:prstGeom prst="rect">
          <a:avLst/>
        </a:prstGeom>
      </xdr:spPr>
    </xdr:pic>
    <xdr:clientData/>
  </xdr:oneCellAnchor>
  <xdr:oneCellAnchor>
    <xdr:from>
      <xdr:col>7</xdr:col>
      <xdr:colOff>905296</xdr:colOff>
      <xdr:row>20</xdr:row>
      <xdr:rowOff>92889</xdr:rowOff>
    </xdr:from>
    <xdr:ext cx="2667575" cy="950323"/>
    <xdr:pic>
      <xdr:nvPicPr>
        <xdr:cNvPr id="1275529560" name=""/>
        <xdr:cNvPicPr>
          <a:picLocks noChangeAspect="1"/>
        </xdr:cNvPicPr>
      </xdr:nvPicPr>
      <xdr:blipFill rotWithShape="1">
        <a:blip r:embed="rId5"/>
        <a:stretch/>
      </xdr:blipFill>
      <xdr:spPr bwMode="auto">
        <a:xfrm flipH="0" flipV="0">
          <a:off x="7842671" y="3691223"/>
          <a:ext cx="2667576" cy="950324"/>
        </a:xfrm>
        <a:prstGeom prst="rect">
          <a:avLst/>
        </a:prstGeom>
      </xdr:spPr>
    </xdr:pic>
    <xdr:clientData/>
  </xdr:oneCellAnchor>
  <xdr:oneCellAnchor>
    <xdr:from>
      <xdr:col>6</xdr:col>
      <xdr:colOff>78192</xdr:colOff>
      <xdr:row>34</xdr:row>
      <xdr:rowOff>123824</xdr:rowOff>
    </xdr:from>
    <xdr:ext cx="768348" cy="294058"/>
    <xdr:pic>
      <xdr:nvPicPr>
        <xdr:cNvPr id="32525332" name=""/>
        <xdr:cNvPicPr>
          <a:picLocks noChangeAspect="1"/>
        </xdr:cNvPicPr>
      </xdr:nvPicPr>
      <xdr:blipFill rotWithShape="1">
        <a:blip r:embed="rId6"/>
        <a:stretch/>
      </xdr:blipFill>
      <xdr:spPr bwMode="auto">
        <a:xfrm flipH="0" flipV="0">
          <a:off x="5577292" y="6169024"/>
          <a:ext cx="768349" cy="29405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8</xdr:col>
      <xdr:colOff>54839</xdr:colOff>
      <xdr:row>11</xdr:row>
      <xdr:rowOff>66385</xdr:rowOff>
    </xdr:from>
    <xdr:ext cx="425831" cy="461817"/>
    <xdr:pic>
      <xdr:nvPicPr>
        <xdr:cNvPr id="79659786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6232482" y="2012206"/>
          <a:ext cx="425831" cy="461817"/>
        </a:xfrm>
        <a:prstGeom prst="rect">
          <a:avLst/>
        </a:prstGeom>
      </xdr:spPr>
    </xdr:pic>
    <xdr:clientData/>
  </xdr:oneCellAnchor>
  <xdr:oneCellAnchor>
    <xdr:from>
      <xdr:col>6</xdr:col>
      <xdr:colOff>78192</xdr:colOff>
      <xdr:row>17</xdr:row>
      <xdr:rowOff>15432</xdr:rowOff>
    </xdr:from>
    <xdr:ext cx="2002678" cy="859731"/>
    <xdr:pic>
      <xdr:nvPicPr>
        <xdr:cNvPr id="1286301344" name="image5.png" title="Imagen"/>
        <xdr:cNvPicPr/>
      </xdr:nvPicPr>
      <xdr:blipFill rotWithShape="1">
        <a:blip r:embed="rId2"/>
        <a:stretch/>
      </xdr:blipFill>
      <xdr:spPr bwMode="auto">
        <a:xfrm flipH="0" flipV="0">
          <a:off x="5568826" y="3038032"/>
          <a:ext cx="2002678" cy="859731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65491</xdr:colOff>
      <xdr:row>23</xdr:row>
      <xdr:rowOff>173489</xdr:rowOff>
    </xdr:from>
    <xdr:ext cx="1546904" cy="258534"/>
    <xdr:pic>
      <xdr:nvPicPr>
        <xdr:cNvPr id="907979879" name=""/>
        <xdr:cNvPicPr>
          <a:picLocks noChangeAspect="1"/>
        </xdr:cNvPicPr>
      </xdr:nvPicPr>
      <xdr:blipFill rotWithShape="1">
        <a:blip r:embed="rId3"/>
        <a:stretch/>
      </xdr:blipFill>
      <xdr:spPr bwMode="auto">
        <a:xfrm flipH="0" flipV="0">
          <a:off x="3887398" y="4281147"/>
          <a:ext cx="1546904" cy="258534"/>
        </a:xfrm>
        <a:prstGeom prst="rect">
          <a:avLst/>
        </a:prstGeom>
      </xdr:spPr>
    </xdr:pic>
    <xdr:clientData/>
  </xdr:oneCellAnchor>
  <xdr:oneCellAnchor>
    <xdr:from>
      <xdr:col>3</xdr:col>
      <xdr:colOff>30681</xdr:colOff>
      <xdr:row>29</xdr:row>
      <xdr:rowOff>81641</xdr:rowOff>
    </xdr:from>
    <xdr:ext cx="1110049" cy="283624"/>
    <xdr:pic>
      <xdr:nvPicPr>
        <xdr:cNvPr id="1261204353" name=""/>
        <xdr:cNvPicPr>
          <a:picLocks noChangeAspect="1"/>
        </xdr:cNvPicPr>
      </xdr:nvPicPr>
      <xdr:blipFill rotWithShape="1">
        <a:blip r:embed="rId4"/>
        <a:stretch/>
      </xdr:blipFill>
      <xdr:spPr bwMode="auto">
        <a:xfrm flipH="0" flipV="0">
          <a:off x="2226721" y="5299224"/>
          <a:ext cx="1110049" cy="283624"/>
        </a:xfrm>
        <a:prstGeom prst="rect">
          <a:avLst/>
        </a:prstGeom>
      </xdr:spPr>
    </xdr:pic>
    <xdr:clientData/>
  </xdr:oneCellAnchor>
  <xdr:oneCellAnchor>
    <xdr:from>
      <xdr:col>7</xdr:col>
      <xdr:colOff>905294</xdr:colOff>
      <xdr:row>20</xdr:row>
      <xdr:rowOff>92889</xdr:rowOff>
    </xdr:from>
    <xdr:ext cx="2667574" cy="950322"/>
    <xdr:pic>
      <xdr:nvPicPr>
        <xdr:cNvPr id="1990112465" name=""/>
        <xdr:cNvPicPr>
          <a:picLocks noChangeAspect="1"/>
        </xdr:cNvPicPr>
      </xdr:nvPicPr>
      <xdr:blipFill rotWithShape="1">
        <a:blip r:embed="rId5"/>
        <a:stretch/>
      </xdr:blipFill>
      <xdr:spPr bwMode="auto">
        <a:xfrm flipH="0" flipV="0">
          <a:off x="7842670" y="3691222"/>
          <a:ext cx="2667575" cy="950323"/>
        </a:xfrm>
        <a:prstGeom prst="rect">
          <a:avLst/>
        </a:prstGeom>
      </xdr:spPr>
    </xdr:pic>
    <xdr:clientData/>
  </xdr:oneCellAnchor>
  <xdr:oneCellAnchor>
    <xdr:from>
      <xdr:col>6</xdr:col>
      <xdr:colOff>78191</xdr:colOff>
      <xdr:row>34</xdr:row>
      <xdr:rowOff>123823</xdr:rowOff>
    </xdr:from>
    <xdr:ext cx="768348" cy="294057"/>
    <xdr:pic>
      <xdr:nvPicPr>
        <xdr:cNvPr id="2011468116" name=""/>
        <xdr:cNvPicPr>
          <a:picLocks noChangeAspect="1"/>
        </xdr:cNvPicPr>
      </xdr:nvPicPr>
      <xdr:blipFill rotWithShape="1">
        <a:blip r:embed="rId6"/>
        <a:stretch/>
      </xdr:blipFill>
      <xdr:spPr bwMode="auto">
        <a:xfrm flipH="0" flipV="0">
          <a:off x="5577291" y="6169023"/>
          <a:ext cx="768348" cy="29405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8</xdr:col>
      <xdr:colOff>54839</xdr:colOff>
      <xdr:row>11</xdr:row>
      <xdr:rowOff>66385</xdr:rowOff>
    </xdr:from>
    <xdr:ext cx="425831" cy="461817"/>
    <xdr:pic>
      <xdr:nvPicPr>
        <xdr:cNvPr id="934402976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6232482" y="2012206"/>
          <a:ext cx="425831" cy="461817"/>
        </a:xfrm>
        <a:prstGeom prst="rect">
          <a:avLst/>
        </a:prstGeom>
      </xdr:spPr>
    </xdr:pic>
    <xdr:clientData/>
  </xdr:oneCellAnchor>
  <xdr:oneCellAnchor>
    <xdr:from>
      <xdr:col>6</xdr:col>
      <xdr:colOff>78192</xdr:colOff>
      <xdr:row>17</xdr:row>
      <xdr:rowOff>15432</xdr:rowOff>
    </xdr:from>
    <xdr:ext cx="2002678" cy="859731"/>
    <xdr:pic>
      <xdr:nvPicPr>
        <xdr:cNvPr id="1403138957" name="image5.png" title="Imagen"/>
        <xdr:cNvPicPr/>
      </xdr:nvPicPr>
      <xdr:blipFill rotWithShape="1">
        <a:blip r:embed="rId2"/>
        <a:stretch/>
      </xdr:blipFill>
      <xdr:spPr bwMode="auto">
        <a:xfrm flipH="0" flipV="0">
          <a:off x="5568826" y="3038032"/>
          <a:ext cx="2002678" cy="859731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65491</xdr:colOff>
      <xdr:row>23</xdr:row>
      <xdr:rowOff>173489</xdr:rowOff>
    </xdr:from>
    <xdr:ext cx="1546904" cy="258534"/>
    <xdr:pic>
      <xdr:nvPicPr>
        <xdr:cNvPr id="689347726" name=""/>
        <xdr:cNvPicPr>
          <a:picLocks noChangeAspect="1"/>
        </xdr:cNvPicPr>
      </xdr:nvPicPr>
      <xdr:blipFill rotWithShape="1">
        <a:blip r:embed="rId3"/>
        <a:stretch/>
      </xdr:blipFill>
      <xdr:spPr bwMode="auto">
        <a:xfrm flipH="0" flipV="0">
          <a:off x="3887398" y="4281147"/>
          <a:ext cx="1546904" cy="258534"/>
        </a:xfrm>
        <a:prstGeom prst="rect">
          <a:avLst/>
        </a:prstGeom>
      </xdr:spPr>
    </xdr:pic>
    <xdr:clientData/>
  </xdr:oneCellAnchor>
  <xdr:oneCellAnchor>
    <xdr:from>
      <xdr:col>3</xdr:col>
      <xdr:colOff>30681</xdr:colOff>
      <xdr:row>29</xdr:row>
      <xdr:rowOff>81641</xdr:rowOff>
    </xdr:from>
    <xdr:ext cx="1110049" cy="283624"/>
    <xdr:pic>
      <xdr:nvPicPr>
        <xdr:cNvPr id="1442328416" name=""/>
        <xdr:cNvPicPr>
          <a:picLocks noChangeAspect="1"/>
        </xdr:cNvPicPr>
      </xdr:nvPicPr>
      <xdr:blipFill rotWithShape="1">
        <a:blip r:embed="rId4"/>
        <a:stretch/>
      </xdr:blipFill>
      <xdr:spPr bwMode="auto">
        <a:xfrm flipH="0" flipV="0">
          <a:off x="2226721" y="5299224"/>
          <a:ext cx="1110049" cy="283624"/>
        </a:xfrm>
        <a:prstGeom prst="rect">
          <a:avLst/>
        </a:prstGeom>
      </xdr:spPr>
    </xdr:pic>
    <xdr:clientData/>
  </xdr:oneCellAnchor>
  <xdr:oneCellAnchor>
    <xdr:from>
      <xdr:col>7</xdr:col>
      <xdr:colOff>905294</xdr:colOff>
      <xdr:row>20</xdr:row>
      <xdr:rowOff>92889</xdr:rowOff>
    </xdr:from>
    <xdr:ext cx="2667574" cy="950322"/>
    <xdr:pic>
      <xdr:nvPicPr>
        <xdr:cNvPr id="2109348654" name=""/>
        <xdr:cNvPicPr>
          <a:picLocks noChangeAspect="1"/>
        </xdr:cNvPicPr>
      </xdr:nvPicPr>
      <xdr:blipFill rotWithShape="1">
        <a:blip r:embed="rId5"/>
        <a:stretch/>
      </xdr:blipFill>
      <xdr:spPr bwMode="auto">
        <a:xfrm flipH="0" flipV="0">
          <a:off x="7842670" y="3691222"/>
          <a:ext cx="2667575" cy="950323"/>
        </a:xfrm>
        <a:prstGeom prst="rect">
          <a:avLst/>
        </a:prstGeom>
      </xdr:spPr>
    </xdr:pic>
    <xdr:clientData/>
  </xdr:oneCellAnchor>
  <xdr:oneCellAnchor>
    <xdr:from>
      <xdr:col>6</xdr:col>
      <xdr:colOff>78191</xdr:colOff>
      <xdr:row>34</xdr:row>
      <xdr:rowOff>123823</xdr:rowOff>
    </xdr:from>
    <xdr:ext cx="768348" cy="294057"/>
    <xdr:pic>
      <xdr:nvPicPr>
        <xdr:cNvPr id="1818793392" name=""/>
        <xdr:cNvPicPr>
          <a:picLocks noChangeAspect="1"/>
        </xdr:cNvPicPr>
      </xdr:nvPicPr>
      <xdr:blipFill rotWithShape="1">
        <a:blip r:embed="rId6"/>
        <a:stretch/>
      </xdr:blipFill>
      <xdr:spPr bwMode="auto">
        <a:xfrm flipH="0" flipV="0">
          <a:off x="5577291" y="6169023"/>
          <a:ext cx="768348" cy="294058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8</xdr:col>
      <xdr:colOff>54839</xdr:colOff>
      <xdr:row>11</xdr:row>
      <xdr:rowOff>66385</xdr:rowOff>
    </xdr:from>
    <xdr:ext cx="425831" cy="461817"/>
    <xdr:pic>
      <xdr:nvPicPr>
        <xdr:cNvPr id="1279975066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6232482" y="2012206"/>
          <a:ext cx="425831" cy="461817"/>
        </a:xfrm>
        <a:prstGeom prst="rect">
          <a:avLst/>
        </a:prstGeom>
      </xdr:spPr>
    </xdr:pic>
    <xdr:clientData/>
  </xdr:oneCellAnchor>
  <xdr:oneCellAnchor>
    <xdr:from>
      <xdr:col>6</xdr:col>
      <xdr:colOff>78192</xdr:colOff>
      <xdr:row>17</xdr:row>
      <xdr:rowOff>15432</xdr:rowOff>
    </xdr:from>
    <xdr:ext cx="2002678" cy="859731"/>
    <xdr:pic>
      <xdr:nvPicPr>
        <xdr:cNvPr id="1829539270" name="image5.png" title="Imagen"/>
        <xdr:cNvPicPr/>
      </xdr:nvPicPr>
      <xdr:blipFill rotWithShape="1">
        <a:blip r:embed="rId2"/>
        <a:stretch/>
      </xdr:blipFill>
      <xdr:spPr bwMode="auto">
        <a:xfrm flipH="0" flipV="0">
          <a:off x="5568826" y="3038032"/>
          <a:ext cx="2002678" cy="859731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65491</xdr:colOff>
      <xdr:row>23</xdr:row>
      <xdr:rowOff>173489</xdr:rowOff>
    </xdr:from>
    <xdr:ext cx="1546904" cy="258534"/>
    <xdr:pic>
      <xdr:nvPicPr>
        <xdr:cNvPr id="178410578" name=""/>
        <xdr:cNvPicPr>
          <a:picLocks noChangeAspect="1"/>
        </xdr:cNvPicPr>
      </xdr:nvPicPr>
      <xdr:blipFill rotWithShape="1">
        <a:blip r:embed="rId3"/>
        <a:stretch/>
      </xdr:blipFill>
      <xdr:spPr bwMode="auto">
        <a:xfrm flipH="0" flipV="0">
          <a:off x="3887398" y="4281147"/>
          <a:ext cx="1546904" cy="258534"/>
        </a:xfrm>
        <a:prstGeom prst="rect">
          <a:avLst/>
        </a:prstGeom>
      </xdr:spPr>
    </xdr:pic>
    <xdr:clientData/>
  </xdr:oneCellAnchor>
  <xdr:oneCellAnchor>
    <xdr:from>
      <xdr:col>3</xdr:col>
      <xdr:colOff>30681</xdr:colOff>
      <xdr:row>29</xdr:row>
      <xdr:rowOff>81641</xdr:rowOff>
    </xdr:from>
    <xdr:ext cx="1110049" cy="283624"/>
    <xdr:pic>
      <xdr:nvPicPr>
        <xdr:cNvPr id="1721167926" name=""/>
        <xdr:cNvPicPr>
          <a:picLocks noChangeAspect="1"/>
        </xdr:cNvPicPr>
      </xdr:nvPicPr>
      <xdr:blipFill rotWithShape="1">
        <a:blip r:embed="rId4"/>
        <a:stretch/>
      </xdr:blipFill>
      <xdr:spPr bwMode="auto">
        <a:xfrm flipH="0" flipV="0">
          <a:off x="2226721" y="5299224"/>
          <a:ext cx="1110049" cy="283624"/>
        </a:xfrm>
        <a:prstGeom prst="rect">
          <a:avLst/>
        </a:prstGeom>
      </xdr:spPr>
    </xdr:pic>
    <xdr:clientData/>
  </xdr:oneCellAnchor>
  <xdr:oneCellAnchor>
    <xdr:from>
      <xdr:col>7</xdr:col>
      <xdr:colOff>905294</xdr:colOff>
      <xdr:row>20</xdr:row>
      <xdr:rowOff>92889</xdr:rowOff>
    </xdr:from>
    <xdr:ext cx="2667574" cy="950322"/>
    <xdr:pic>
      <xdr:nvPicPr>
        <xdr:cNvPr id="1687471783" name=""/>
        <xdr:cNvPicPr>
          <a:picLocks noChangeAspect="1"/>
        </xdr:cNvPicPr>
      </xdr:nvPicPr>
      <xdr:blipFill rotWithShape="1">
        <a:blip r:embed="rId5"/>
        <a:stretch/>
      </xdr:blipFill>
      <xdr:spPr bwMode="auto">
        <a:xfrm flipH="0" flipV="0">
          <a:off x="7842670" y="3691222"/>
          <a:ext cx="2667575" cy="950323"/>
        </a:xfrm>
        <a:prstGeom prst="rect">
          <a:avLst/>
        </a:prstGeom>
      </xdr:spPr>
    </xdr:pic>
    <xdr:clientData/>
  </xdr:oneCellAnchor>
  <xdr:oneCellAnchor>
    <xdr:from>
      <xdr:col>6</xdr:col>
      <xdr:colOff>78191</xdr:colOff>
      <xdr:row>34</xdr:row>
      <xdr:rowOff>123823</xdr:rowOff>
    </xdr:from>
    <xdr:ext cx="768348" cy="294057"/>
    <xdr:pic>
      <xdr:nvPicPr>
        <xdr:cNvPr id="544269392" name=""/>
        <xdr:cNvPicPr>
          <a:picLocks noChangeAspect="1"/>
        </xdr:cNvPicPr>
      </xdr:nvPicPr>
      <xdr:blipFill rotWithShape="1">
        <a:blip r:embed="rId6"/>
        <a:stretch/>
      </xdr:blipFill>
      <xdr:spPr bwMode="auto">
        <a:xfrm flipH="0" flipV="0">
          <a:off x="5577291" y="6169023"/>
          <a:ext cx="768348" cy="294058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2" ref="$C$3:$H$13">
  <autoFilter ref="$C$3:$H$13">
    <filterColumn colId="0" showButton="0"/>
    <filterColumn colId="1" showButton="0"/>
    <filterColumn colId="2" showButton="0"/>
    <filterColumn colId="3" showButton="0"/>
    <filterColumn colId="4" showButton="0"/>
    <filterColumn colId="5" showButton="0"/>
  </autoFilter>
  <tableColumns count="6">
    <tableColumn id="1" name="n"/>
    <tableColumn id="2" name="x"/>
    <tableColumn id="3" name="y"/>
    <tableColumn id="4" name="x^2"/>
    <tableColumn id="5" name="x*y"/>
    <tableColumn id="6" name="y^2"/>
  </tableColumns>
  <tableStyleInfo name="TableStyleMedium2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able3" ref="C14:H14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TableStyleMedium2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Table5" ref="$D$15:$E$16">
  <autoFilter ref="$D$15:$E$16">
    <filterColumn colId="0" showButton="0"/>
    <filterColumn colId="1" showButton="0"/>
  </autoFilter>
  <tableColumns count="2">
    <tableColumn id="1" name="Xavg"/>
    <tableColumn id="2" name="Yavg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displayName="Table11" ref="$B$29:$C$32" headerRowCount="0">
  <tableColumns count="2">
    <tableColumn id="1" name="Column1"/>
    <tableColumn id="2" name="Column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displayName="Table16" ref="$B$18:$F$22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TableStyleMedium2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displayName="Table19" ref="G33:H34" headerRowCount="0">
  <tableColumns count="2">
    <tableColumn id="1" name="Column1"/>
    <tableColumn id="2" name="Column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displayName="Table21" ref="$G$29:$J$32" headerRowCount="0">
  <tableColumns count="4">
    <tableColumn id="1" name="Column1"/>
    <tableColumn id="2" name="Column2"/>
    <tableColumn id="3" name="Column3"/>
    <tableColumn id="4" name="Column4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displayName="Table37" ref="$B$24:$E$26" headerRowCount="0">
  <tableColumns count="4">
    <tableColumn id="1" name="Column1"/>
    <tableColumn id="2" name="Column2"/>
    <tableColumn id="3" name="Column3"/>
    <tableColumn id="4" name="Column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displayName="Table38" ref="$G$27:$K$28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displayName="Table39" ref="$C$3:$H$13">
  <autoFilter ref="$C$3:$H$13">
    <filterColumn colId="0" showButton="0"/>
    <filterColumn colId="1" showButton="0"/>
    <filterColumn colId="2" showButton="0"/>
    <filterColumn colId="3" showButton="0"/>
    <filterColumn colId="4" showButton="0"/>
    <filterColumn colId="5" showButton="0"/>
  </autoFilter>
  <tableColumns count="6">
    <tableColumn id="1" name="n"/>
    <tableColumn id="2" name="x"/>
    <tableColumn id="3" name="y"/>
    <tableColumn id="4" name="x^2"/>
    <tableColumn id="5" name="x*y"/>
    <tableColumn id="6" name="y^2"/>
  </tableColumns>
  <tableStyleInfo name="TableStyleMedium2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displayName="Table40" ref="C14:H14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TableStyleMedium2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displayName="Table41" ref="$D$15:$E$16">
  <autoFilter ref="$D$15:$E$16">
    <filterColumn colId="0" showButton="0"/>
    <filterColumn colId="1" showButton="0"/>
  </autoFilter>
  <tableColumns count="2">
    <tableColumn id="1" name="Xavg"/>
    <tableColumn id="2" name="Yavg"/>
  </tableColumns>
  <tableStyleInfo name="TableStyleLight20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displayName="Table42" ref="$B$29:$C$32" headerRowCount="0">
  <tableColumns count="2">
    <tableColumn id="1" name="Column1"/>
    <tableColumn id="2" name="Column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displayName="Table43" ref="$B$18:$F$22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TableStyleMedium2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displayName="Table44" ref="G33:H34" headerRowCount="0">
  <tableColumns count="2">
    <tableColumn id="1" name="Column1"/>
    <tableColumn id="2" name="Column2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displayName="Table45" ref="$G$29:$J$32" headerRowCount="0">
  <tableColumns count="4">
    <tableColumn id="1" name="Column1"/>
    <tableColumn id="2" name="Column2"/>
    <tableColumn id="3" name="Column3"/>
    <tableColumn id="4" name="Column4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displayName="Table46" ref="$B$24:$E$26" headerRowCount="0">
  <tableColumns count="4">
    <tableColumn id="1" name="Column1"/>
    <tableColumn id="2" name="Column2"/>
    <tableColumn id="3" name="Column3"/>
    <tableColumn id="4" name="Column4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displayName="Table47" ref="$G$27:$K$28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displayName="Table48" ref="$C$3:$H$13">
  <autoFilter ref="$C$3:$H$13">
    <filterColumn colId="0" showButton="0"/>
    <filterColumn colId="1" showButton="0"/>
    <filterColumn colId="2" showButton="0"/>
    <filterColumn colId="3" showButton="0"/>
    <filterColumn colId="4" showButton="0"/>
    <filterColumn colId="5" showButton="0"/>
  </autoFilter>
  <tableColumns count="6">
    <tableColumn id="1" name="n"/>
    <tableColumn id="2" name="x"/>
    <tableColumn id="3" name="y"/>
    <tableColumn id="4" name="x^2"/>
    <tableColumn id="5" name="x*y"/>
    <tableColumn id="6" name="y^2"/>
  </tableColumns>
  <tableStyleInfo name="TableStyleMedium2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displayName="Table49" ref="C14:H14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TableStyleMedium2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displayName="Table50" ref="$D$15:$E$16">
  <autoFilter ref="$D$15:$E$16">
    <filterColumn colId="0" showButton="0"/>
    <filterColumn colId="1" showButton="0"/>
  </autoFilter>
  <tableColumns count="2">
    <tableColumn id="1" name="Xavg"/>
    <tableColumn id="2" name="Yavg"/>
  </tableColumns>
  <tableStyleInfo name="TableStyleLight20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displayName="Table51" ref="$B$29:$C$32" headerRowCount="0">
  <tableColumns count="2">
    <tableColumn id="1" name="Column1"/>
    <tableColumn id="2" name="Column2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displayName="Table52" ref="$B$18:$F$22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TableStyleMedium25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displayName="Table53" ref="G33:H34" headerRowCount="0">
  <tableColumns count="2">
    <tableColumn id="1" name="Column1"/>
    <tableColumn id="2" name="Column2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displayName="Table54" ref="$G$29:$J$32" headerRowCount="0">
  <tableColumns count="4">
    <tableColumn id="1" name="Column1"/>
    <tableColumn id="2" name="Column2"/>
    <tableColumn id="3" name="Column3"/>
    <tableColumn id="4" name="Column4"/>
  </tableColumns>
  <tableStyleInfo name="TableStyleLight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displayName="Table55" ref="$B$24:$E$26" headerRowCount="0">
  <tableColumns count="4">
    <tableColumn id="1" name="Column1"/>
    <tableColumn id="2" name="Column2"/>
    <tableColumn id="3" name="Column3"/>
    <tableColumn id="4" name="Column4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displayName="Table56" ref="$G$27:$K$28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displayName="Table57" ref="$C$3:$H$13">
  <autoFilter ref="$C$3:$H$13">
    <filterColumn colId="0" showButton="0"/>
    <filterColumn colId="1" showButton="0"/>
    <filterColumn colId="2" showButton="0"/>
    <filterColumn colId="3" showButton="0"/>
    <filterColumn colId="4" showButton="0"/>
    <filterColumn colId="5" showButton="0"/>
  </autoFilter>
  <tableColumns count="6">
    <tableColumn id="1" name="n"/>
    <tableColumn id="2" name="x"/>
    <tableColumn id="3" name="y"/>
    <tableColumn id="4" name="x^2"/>
    <tableColumn id="5" name="x*y"/>
    <tableColumn id="6" name="y^2"/>
  </tableColumns>
  <tableStyleInfo name="TableStyleMedium2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displayName="Table58" ref="C14:H14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TableStyleMedium2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displayName="Table59" ref="$D$15:$E$16">
  <autoFilter ref="$D$15:$E$16">
    <filterColumn colId="0" showButton="0"/>
    <filterColumn colId="1" showButton="0"/>
  </autoFilter>
  <tableColumns count="2">
    <tableColumn id="1" name="Xavg"/>
    <tableColumn id="2" name="Yavg"/>
  </tableColumns>
  <tableStyleInfo name="TableStyleLight20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displayName="Table60" ref="$B$29:$C$32" headerRowCount="0">
  <tableColumns count="2">
    <tableColumn id="1" name="Column1"/>
    <tableColumn id="2" name="Column2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displayName="Table61" ref="$B$18:$F$22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TableStyleMedium25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displayName="Table62" ref="G33:H34" headerRowCount="0">
  <tableColumns count="2">
    <tableColumn id="1" name="Column1"/>
    <tableColumn id="2" name="Column2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displayName="Table63" ref="$G$29:$J$32" headerRowCount="0">
  <tableColumns count="4">
    <tableColumn id="1" name="Column1"/>
    <tableColumn id="2" name="Column2"/>
    <tableColumn id="3" name="Column3"/>
    <tableColumn id="4" name="Column4"/>
  </tableColumns>
  <tableStyleInfo name="TableStyleLight1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displayName="Table64" ref="$B$24:$E$26" headerRowCount="0">
  <tableColumns count="4">
    <tableColumn id="1" name="Column1"/>
    <tableColumn id="2" name="Column2"/>
    <tableColumn id="3" name="Column3"/>
    <tableColumn id="4" name="Column4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displayName="Table65" ref="$G$27:$K$28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Relationship  Id="rId10" Type="http://schemas.openxmlformats.org/officeDocument/2006/relationships/table" Target="../tables/table9.xml"/><Relationship  Id="rId2" Type="http://schemas.openxmlformats.org/officeDocument/2006/relationships/table" Target="../tables/table1.xml"/><Relationship  Id="rId3" Type="http://schemas.openxmlformats.org/officeDocument/2006/relationships/table" Target="../tables/table2.xml"/><Relationship  Id="rId4" Type="http://schemas.openxmlformats.org/officeDocument/2006/relationships/table" Target="../tables/table3.xml"/><Relationship  Id="rId5" Type="http://schemas.openxmlformats.org/officeDocument/2006/relationships/table" Target="../tables/table4.xml"/><Relationship  Id="rId6" Type="http://schemas.openxmlformats.org/officeDocument/2006/relationships/table" Target="../tables/table5.xml"/><Relationship  Id="rId7" Type="http://schemas.openxmlformats.org/officeDocument/2006/relationships/table" Target="../tables/table6.xml"/><Relationship  Id="rId8" Type="http://schemas.openxmlformats.org/officeDocument/2006/relationships/table" Target="../tables/table7.xml"/><Relationship  Id="rId9" Type="http://schemas.openxmlformats.org/officeDocument/2006/relationships/table" Target="../tables/table8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Relationship  Id="rId10" Type="http://schemas.openxmlformats.org/officeDocument/2006/relationships/table" Target="../tables/table18.xml"/><Relationship  Id="rId2" Type="http://schemas.openxmlformats.org/officeDocument/2006/relationships/table" Target="../tables/table10.xml"/><Relationship  Id="rId3" Type="http://schemas.openxmlformats.org/officeDocument/2006/relationships/table" Target="../tables/table11.xml"/><Relationship  Id="rId4" Type="http://schemas.openxmlformats.org/officeDocument/2006/relationships/table" Target="../tables/table12.xml"/><Relationship  Id="rId5" Type="http://schemas.openxmlformats.org/officeDocument/2006/relationships/table" Target="../tables/table13.xml"/><Relationship  Id="rId6" Type="http://schemas.openxmlformats.org/officeDocument/2006/relationships/table" Target="../tables/table14.xml"/><Relationship  Id="rId7" Type="http://schemas.openxmlformats.org/officeDocument/2006/relationships/table" Target="../tables/table15.xml"/><Relationship  Id="rId8" Type="http://schemas.openxmlformats.org/officeDocument/2006/relationships/table" Target="../tables/table16.xml"/><Relationship  Id="rId9" Type="http://schemas.openxmlformats.org/officeDocument/2006/relationships/table" Target="../tables/table17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Relationship  Id="rId10" Type="http://schemas.openxmlformats.org/officeDocument/2006/relationships/table" Target="../tables/table27.xml"/><Relationship  Id="rId2" Type="http://schemas.openxmlformats.org/officeDocument/2006/relationships/table" Target="../tables/table19.xml"/><Relationship  Id="rId3" Type="http://schemas.openxmlformats.org/officeDocument/2006/relationships/table" Target="../tables/table20.xml"/><Relationship  Id="rId4" Type="http://schemas.openxmlformats.org/officeDocument/2006/relationships/table" Target="../tables/table21.xml"/><Relationship  Id="rId5" Type="http://schemas.openxmlformats.org/officeDocument/2006/relationships/table" Target="../tables/table22.xml"/><Relationship  Id="rId6" Type="http://schemas.openxmlformats.org/officeDocument/2006/relationships/table" Target="../tables/table23.xml"/><Relationship  Id="rId7" Type="http://schemas.openxmlformats.org/officeDocument/2006/relationships/table" Target="../tables/table24.xml"/><Relationship  Id="rId8" Type="http://schemas.openxmlformats.org/officeDocument/2006/relationships/table" Target="../tables/table25.xml"/><Relationship  Id="rId9" Type="http://schemas.openxmlformats.org/officeDocument/2006/relationships/table" Target="../tables/table26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Relationship  Id="rId10" Type="http://schemas.openxmlformats.org/officeDocument/2006/relationships/table" Target="../tables/table36.xml"/><Relationship  Id="rId2" Type="http://schemas.openxmlformats.org/officeDocument/2006/relationships/table" Target="../tables/table28.xml"/><Relationship  Id="rId3" Type="http://schemas.openxmlformats.org/officeDocument/2006/relationships/table" Target="../tables/table29.xml"/><Relationship  Id="rId4" Type="http://schemas.openxmlformats.org/officeDocument/2006/relationships/table" Target="../tables/table30.xml"/><Relationship  Id="rId5" Type="http://schemas.openxmlformats.org/officeDocument/2006/relationships/table" Target="../tables/table31.xml"/><Relationship  Id="rId6" Type="http://schemas.openxmlformats.org/officeDocument/2006/relationships/table" Target="../tables/table32.xml"/><Relationship  Id="rId7" Type="http://schemas.openxmlformats.org/officeDocument/2006/relationships/table" Target="../tables/table33.xml"/><Relationship  Id="rId8" Type="http://schemas.openxmlformats.org/officeDocument/2006/relationships/table" Target="../tables/table34.xml"/><Relationship  Id="rId9" Type="http://schemas.openxmlformats.org/officeDocument/2006/relationships/table" Target="../tables/table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" zoomScale="100" workbookViewId="0">
      <selection activeCell="A1" activeCellId="0" sqref="A1"/>
    </sheetView>
  </sheetViews>
  <sheetFormatPr defaultRowHeight="14.25"/>
  <cols>
    <col bestFit="1" min="2" max="2" width="11.00390625"/>
    <col customWidth="1" min="3" max="3" width="13.421875"/>
    <col customWidth="1" min="4" max="4" width="13.00390625"/>
    <col customWidth="1" min="5" max="5" width="11.28125"/>
    <col customWidth="1" min="6" max="6" width="25.00390625"/>
    <col customWidth="1" min="7" max="7" width="23.57421875"/>
    <col bestFit="1" customWidth="1" min="8" max="8" width="23.640625"/>
    <col bestFit="1" min="9" max="9" width="21.87109375"/>
    <col bestFit="1" min="10" max="10" width="12.61328125"/>
    <col bestFit="1" min="11" max="11" width="28.203125"/>
    <col bestFit="1" min="12" max="12" width="10.390625"/>
  </cols>
  <sheetData>
    <row r="3" ht="14.2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</row>
    <row r="4" ht="14.25">
      <c r="C4" s="1">
        <v>1</v>
      </c>
      <c r="D4" s="1">
        <v>130</v>
      </c>
      <c r="E4" s="1">
        <v>186</v>
      </c>
      <c r="F4" s="1">
        <f t="shared" ref="F4:F9" si="0">D4^2</f>
        <v>16900</v>
      </c>
      <c r="G4" s="1">
        <f t="shared" ref="G4:G9" si="1">D4*E4</f>
        <v>24180</v>
      </c>
      <c r="H4" s="1">
        <f t="shared" ref="H4:H9" si="2">E4^2</f>
        <v>34596</v>
      </c>
    </row>
    <row r="5" ht="14.25">
      <c r="C5" s="1">
        <v>2</v>
      </c>
      <c r="D5" s="1">
        <v>650</v>
      </c>
      <c r="E5" s="1">
        <v>699</v>
      </c>
      <c r="F5" s="1">
        <f t="shared" si="0"/>
        <v>422500</v>
      </c>
      <c r="G5" s="1">
        <f t="shared" si="1"/>
        <v>454350</v>
      </c>
      <c r="H5" s="1">
        <f t="shared" si="2"/>
        <v>488601</v>
      </c>
    </row>
    <row r="6" ht="14.25">
      <c r="C6" s="1">
        <v>3</v>
      </c>
      <c r="D6" s="1">
        <v>99</v>
      </c>
      <c r="E6" s="1">
        <v>132</v>
      </c>
      <c r="F6" s="1">
        <f t="shared" si="0"/>
        <v>9801</v>
      </c>
      <c r="G6" s="1">
        <f t="shared" si="1"/>
        <v>13068</v>
      </c>
      <c r="H6" s="1">
        <f t="shared" si="2"/>
        <v>17424</v>
      </c>
    </row>
    <row r="7" ht="14.25">
      <c r="C7" s="1">
        <v>4</v>
      </c>
      <c r="D7" s="1">
        <v>150</v>
      </c>
      <c r="E7" s="1">
        <v>272</v>
      </c>
      <c r="F7" s="1">
        <f t="shared" si="0"/>
        <v>22500</v>
      </c>
      <c r="G7" s="1">
        <f t="shared" si="1"/>
        <v>40800</v>
      </c>
      <c r="H7" s="1">
        <f t="shared" si="2"/>
        <v>73984</v>
      </c>
    </row>
    <row r="8" ht="14.25">
      <c r="C8" s="1">
        <v>5</v>
      </c>
      <c r="D8" s="1">
        <v>128</v>
      </c>
      <c r="E8" s="1">
        <v>291</v>
      </c>
      <c r="F8" s="1">
        <f t="shared" si="0"/>
        <v>16384</v>
      </c>
      <c r="G8" s="1">
        <f t="shared" si="1"/>
        <v>37248</v>
      </c>
      <c r="H8" s="1">
        <f t="shared" si="2"/>
        <v>84681</v>
      </c>
    </row>
    <row r="9" ht="14.25">
      <c r="C9" s="1">
        <v>6</v>
      </c>
      <c r="D9" s="1">
        <v>302</v>
      </c>
      <c r="E9" s="1">
        <v>331</v>
      </c>
      <c r="F9" s="1">
        <f t="shared" si="0"/>
        <v>91204</v>
      </c>
      <c r="G9" s="1">
        <f t="shared" si="1"/>
        <v>99962</v>
      </c>
      <c r="H9" s="1">
        <f t="shared" si="2"/>
        <v>109561</v>
      </c>
    </row>
    <row r="10" ht="14.25">
      <c r="C10" s="1">
        <v>7</v>
      </c>
      <c r="D10" s="1">
        <v>95</v>
      </c>
      <c r="E10" s="1">
        <v>199</v>
      </c>
      <c r="F10" s="1">
        <f t="shared" ref="F10:F13" si="3">D10^2</f>
        <v>9025</v>
      </c>
      <c r="G10" s="1">
        <f t="shared" ref="G10:G13" si="4">D10*E10</f>
        <v>18905</v>
      </c>
      <c r="H10" s="1">
        <f t="shared" ref="H10:H13" si="5">E10^2</f>
        <v>39601</v>
      </c>
      <c r="K10" s="2"/>
    </row>
    <row r="11" ht="14.25">
      <c r="C11" s="1">
        <v>8</v>
      </c>
      <c r="D11" s="1">
        <v>945</v>
      </c>
      <c r="E11" s="1">
        <v>1890</v>
      </c>
      <c r="F11" s="1">
        <f t="shared" si="3"/>
        <v>893025</v>
      </c>
      <c r="G11" s="1">
        <f t="shared" si="4"/>
        <v>1786050</v>
      </c>
      <c r="H11" s="1">
        <f t="shared" si="5"/>
        <v>3572100</v>
      </c>
    </row>
    <row r="12" ht="14.25">
      <c r="C12" s="1">
        <v>9</v>
      </c>
      <c r="D12" s="1">
        <v>368</v>
      </c>
      <c r="E12" s="1">
        <v>788</v>
      </c>
      <c r="F12" s="1">
        <f t="shared" si="3"/>
        <v>135424</v>
      </c>
      <c r="G12" s="1">
        <f t="shared" si="4"/>
        <v>289984</v>
      </c>
      <c r="H12" s="1">
        <f t="shared" si="5"/>
        <v>620944</v>
      </c>
    </row>
    <row r="13" ht="14.25">
      <c r="C13" s="3">
        <v>10</v>
      </c>
      <c r="D13" s="3">
        <v>961</v>
      </c>
      <c r="E13" s="3">
        <v>1601</v>
      </c>
      <c r="F13" s="3">
        <f t="shared" si="3"/>
        <v>923521</v>
      </c>
      <c r="G13" s="3">
        <f t="shared" si="4"/>
        <v>1538561</v>
      </c>
      <c r="H13" s="3">
        <f t="shared" si="5"/>
        <v>2563201</v>
      </c>
    </row>
    <row r="14" ht="14.25">
      <c r="C14" s="4" t="s">
        <v>6</v>
      </c>
      <c r="D14" s="4">
        <f>SUM(D4:D13)</f>
        <v>3828</v>
      </c>
      <c r="E14" s="4">
        <f>SUM(E4:E13)</f>
        <v>6389</v>
      </c>
      <c r="F14" s="4">
        <f>SUM(F4:F13)</f>
        <v>2540284</v>
      </c>
      <c r="G14" s="4">
        <f>SUM(G4:G13)</f>
        <v>4303108</v>
      </c>
      <c r="H14" s="4">
        <f>SUM(H4:H13)</f>
        <v>7604693</v>
      </c>
    </row>
    <row r="15" ht="14.25">
      <c r="D15" s="5" t="s">
        <v>7</v>
      </c>
      <c r="E15" s="5" t="s">
        <v>8</v>
      </c>
    </row>
    <row r="16" ht="14.25">
      <c r="D16" s="5">
        <f>AVERAGE(Table2[x])</f>
        <v>382.80000000000001</v>
      </c>
      <c r="E16" s="5">
        <f>AVERAGE(Table2[y])</f>
        <v>638.89999999999998</v>
      </c>
    </row>
    <row r="18" ht="14.25">
      <c r="B18" s="6"/>
      <c r="C18" s="6" t="s">
        <v>9</v>
      </c>
      <c r="D18" s="6" t="s">
        <v>10</v>
      </c>
      <c r="E18" s="6" t="s">
        <v>11</v>
      </c>
      <c r="F18" s="6" t="s">
        <v>12</v>
      </c>
    </row>
    <row r="19" ht="14.25">
      <c r="B19" s="6"/>
      <c r="C19" s="7"/>
      <c r="D19" s="6">
        <v>382.80000000000001</v>
      </c>
      <c r="E19" s="6">
        <v>638.89999999999998</v>
      </c>
      <c r="F19" s="6">
        <f>C19-(10*D19*E19)</f>
        <v>-2445709.1999999997</v>
      </c>
    </row>
    <row r="20" ht="14.25">
      <c r="B20" s="6"/>
      <c r="C20" s="6" t="s">
        <v>13</v>
      </c>
      <c r="D20" s="6" t="s">
        <v>14</v>
      </c>
      <c r="E20" s="6"/>
      <c r="F20" s="6" t="s">
        <v>15</v>
      </c>
      <c r="G20" s="8"/>
    </row>
    <row r="21" ht="14.25">
      <c r="B21" s="6"/>
      <c r="C21" s="6">
        <v>2540284</v>
      </c>
      <c r="D21" s="6">
        <f>D19*D19</f>
        <v>146535.84</v>
      </c>
      <c r="E21" s="6"/>
      <c r="F21" s="6">
        <f>C21-(10*D21)</f>
        <v>1074925.6000000001</v>
      </c>
      <c r="J21" s="2"/>
    </row>
    <row r="22" ht="14.25">
      <c r="B22" s="6" t="s">
        <v>16</v>
      </c>
      <c r="C22" s="6">
        <f>F19/F21</f>
        <v>-2.275235793063259</v>
      </c>
      <c r="D22" s="6"/>
      <c r="E22" s="6"/>
      <c r="F22" s="6"/>
    </row>
    <row r="24" ht="14.25">
      <c r="C24" t="s">
        <v>17</v>
      </c>
      <c r="D24" t="s">
        <v>18</v>
      </c>
      <c r="E24" t="s">
        <v>19</v>
      </c>
    </row>
    <row r="25" ht="14.25">
      <c r="C25" t="s">
        <v>20</v>
      </c>
      <c r="D25">
        <v>1.727932426</v>
      </c>
      <c r="E25">
        <v>382.80000000000001</v>
      </c>
      <c r="F25" s="2"/>
    </row>
    <row r="26" ht="14.25">
      <c r="B26" t="s">
        <v>21</v>
      </c>
      <c r="C26">
        <f>C25-D25*E25</f>
        <v>-22.552532672799998</v>
      </c>
    </row>
    <row r="27" ht="14.25">
      <c r="G27" t="s">
        <v>22</v>
      </c>
      <c r="H27" t="s">
        <v>23</v>
      </c>
      <c r="I27" t="s">
        <v>24</v>
      </c>
      <c r="K27" t="s">
        <v>25</v>
      </c>
    </row>
    <row r="28" ht="14.25">
      <c r="G28">
        <v>4303108</v>
      </c>
      <c r="H28">
        <v>3828</v>
      </c>
      <c r="I28">
        <v>6389</v>
      </c>
      <c r="K28">
        <f>10*(G28)-(H28)*(I28)</f>
        <v>18573988</v>
      </c>
    </row>
    <row r="29" ht="14.25">
      <c r="B29" s="9" t="s">
        <v>21</v>
      </c>
      <c r="C29" s="10">
        <v>-22.552532670000002</v>
      </c>
      <c r="G29" s="6" t="s">
        <v>26</v>
      </c>
      <c r="H29" s="6" t="s">
        <v>27</v>
      </c>
      <c r="I29" s="6" t="s">
        <v>28</v>
      </c>
      <c r="J29" s="6" t="s">
        <v>29</v>
      </c>
      <c r="K29" s="11"/>
    </row>
    <row r="30" ht="14.25">
      <c r="B30" s="10" t="s">
        <v>16</v>
      </c>
      <c r="C30" s="10">
        <v>1.727932426</v>
      </c>
      <c r="G30" s="6">
        <v>2540284</v>
      </c>
      <c r="H30" s="6">
        <f>H28*H28</f>
        <v>14653584</v>
      </c>
      <c r="I30" s="6">
        <v>7604693</v>
      </c>
      <c r="J30" s="6">
        <f>I28*I28</f>
        <v>40819321</v>
      </c>
      <c r="K30" s="11"/>
    </row>
    <row r="31" ht="14.25">
      <c r="B31" s="10" t="s">
        <v>30</v>
      </c>
      <c r="C31" s="10">
        <v>386</v>
      </c>
      <c r="G31" s="6" t="s">
        <v>31</v>
      </c>
      <c r="H31" s="6" t="s">
        <v>32</v>
      </c>
      <c r="I31" s="6" t="s">
        <v>33</v>
      </c>
      <c r="J31" s="6" t="s">
        <v>34</v>
      </c>
      <c r="K31" s="11"/>
    </row>
    <row r="32" ht="14.25">
      <c r="B32" s="10" t="s">
        <v>35</v>
      </c>
      <c r="C32" s="10">
        <f>C29+C30*C31</f>
        <v>644.429383766</v>
      </c>
      <c r="G32" s="12">
        <f>10*G30-H30</f>
        <v>10749256</v>
      </c>
      <c r="H32" s="13">
        <f>10*I30-J30</f>
        <v>35227609</v>
      </c>
      <c r="I32" s="6">
        <f>G32*H32</f>
        <v>378670587408904</v>
      </c>
      <c r="J32" s="6">
        <f>SQRT(G32*H32)</f>
        <v>19459460.100652948</v>
      </c>
      <c r="K32" s="11"/>
    </row>
    <row r="33" ht="14.25">
      <c r="G33" s="14" t="s">
        <v>36</v>
      </c>
      <c r="H33" s="14">
        <f>K28/J32</f>
        <v>0.95449657410468258</v>
      </c>
    </row>
    <row r="34" ht="14.25">
      <c r="G34" s="14" t="s">
        <v>37</v>
      </c>
      <c r="H34" s="14">
        <f>H33*H33</f>
        <v>0.9110637099775758</v>
      </c>
    </row>
    <row r="35" ht="14.25">
      <c r="I35" s="2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11.00390625"/>
    <col customWidth="1" min="3" max="3" width="13.421875"/>
    <col customWidth="1" min="4" max="4" width="13.00390625"/>
    <col customWidth="1" min="5" max="5" width="11.28125"/>
    <col customWidth="1" min="6" max="6" width="25.00390625"/>
    <col customWidth="1" min="7" max="7" width="23.57421875"/>
    <col bestFit="1" customWidth="1" min="8" max="8" width="23.640625"/>
    <col bestFit="1" min="9" max="9" width="21.87109375"/>
    <col bestFit="1" min="10" max="10" width="12.61328125"/>
    <col bestFit="1" min="11" max="11" width="28.203125"/>
    <col bestFit="1" min="12" max="12" width="10.390625"/>
  </cols>
  <sheetData>
    <row r="3" ht="14.2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</row>
    <row r="4" ht="14.25">
      <c r="C4" s="1">
        <v>1</v>
      </c>
      <c r="D4" s="1">
        <v>130</v>
      </c>
      <c r="E4" s="1">
        <v>15</v>
      </c>
      <c r="F4" s="1">
        <v>16900</v>
      </c>
      <c r="G4" s="1">
        <v>1950</v>
      </c>
      <c r="H4" s="1">
        <v>225</v>
      </c>
    </row>
    <row r="5" ht="14.25">
      <c r="C5" s="1">
        <v>2</v>
      </c>
      <c r="D5" s="1">
        <v>650</v>
      </c>
      <c r="E5" s="1">
        <v>69.900000000000006</v>
      </c>
      <c r="F5" s="1">
        <v>422500</v>
      </c>
      <c r="G5" s="1">
        <v>45435.000000000007</v>
      </c>
      <c r="H5" s="1">
        <v>4886.0100000000011</v>
      </c>
    </row>
    <row r="6" ht="14.25">
      <c r="C6" s="1">
        <v>3</v>
      </c>
      <c r="D6" s="1">
        <v>99</v>
      </c>
      <c r="E6" s="1">
        <v>6.5</v>
      </c>
      <c r="F6" s="1">
        <v>9801</v>
      </c>
      <c r="G6" s="1">
        <v>643.5</v>
      </c>
      <c r="H6" s="1">
        <v>42.25</v>
      </c>
    </row>
    <row r="7" ht="14.25">
      <c r="C7" s="1">
        <v>4</v>
      </c>
      <c r="D7" s="1">
        <v>150</v>
      </c>
      <c r="E7" s="1">
        <v>22.399999999999999</v>
      </c>
      <c r="F7" s="1">
        <v>22500</v>
      </c>
      <c r="G7" s="1">
        <v>3360</v>
      </c>
      <c r="H7" s="1">
        <v>501.75999999999993</v>
      </c>
    </row>
    <row r="8" ht="14.25">
      <c r="C8" s="1">
        <v>5</v>
      </c>
      <c r="D8" s="1">
        <v>128</v>
      </c>
      <c r="E8" s="1">
        <v>28.399999999999999</v>
      </c>
      <c r="F8" s="1">
        <v>16384</v>
      </c>
      <c r="G8" s="1">
        <v>3635.1999999999998</v>
      </c>
      <c r="H8" s="1">
        <v>806.55999999999995</v>
      </c>
    </row>
    <row r="9" ht="14.25">
      <c r="C9" s="1">
        <v>6</v>
      </c>
      <c r="D9" s="1">
        <v>302</v>
      </c>
      <c r="E9" s="1">
        <v>65.900000000000006</v>
      </c>
      <c r="F9" s="1">
        <v>91204</v>
      </c>
      <c r="G9" s="1">
        <v>19901.800000000003</v>
      </c>
      <c r="H9" s="1">
        <v>4342.8100000000004</v>
      </c>
    </row>
    <row r="10" ht="14.25">
      <c r="C10" s="1">
        <v>7</v>
      </c>
      <c r="D10" s="1">
        <v>95</v>
      </c>
      <c r="E10" s="1">
        <v>19.399999999999999</v>
      </c>
      <c r="F10" s="1">
        <v>9025</v>
      </c>
      <c r="G10" s="1">
        <v>1842.9999999999998</v>
      </c>
      <c r="H10" s="1">
        <v>376.35999999999996</v>
      </c>
      <c r="K10" s="2"/>
    </row>
    <row r="11" ht="14.25">
      <c r="C11" s="1">
        <v>8</v>
      </c>
      <c r="D11" s="1">
        <v>945</v>
      </c>
      <c r="E11" s="1">
        <v>198.69999999999999</v>
      </c>
      <c r="F11" s="1">
        <v>893025</v>
      </c>
      <c r="G11" s="1">
        <v>187771.5</v>
      </c>
      <c r="H11" s="1">
        <v>39481.689999999995</v>
      </c>
    </row>
    <row r="12" ht="14.25">
      <c r="C12" s="1">
        <v>9</v>
      </c>
      <c r="D12" s="1">
        <v>368</v>
      </c>
      <c r="E12" s="1">
        <v>38.799999999999997</v>
      </c>
      <c r="F12" s="1">
        <v>135424</v>
      </c>
      <c r="G12" s="1">
        <v>14278.4</v>
      </c>
      <c r="H12" s="1">
        <v>1505.4399999999998</v>
      </c>
    </row>
    <row r="13" ht="14.25">
      <c r="C13" s="3">
        <v>10</v>
      </c>
      <c r="D13" s="3">
        <v>961</v>
      </c>
      <c r="E13" s="3">
        <v>138.19999999999999</v>
      </c>
      <c r="F13" s="3">
        <v>923521</v>
      </c>
      <c r="G13" s="3">
        <v>132810.19999999998</v>
      </c>
      <c r="H13" s="3">
        <v>19099.239999999998</v>
      </c>
    </row>
    <row r="14" ht="14.25">
      <c r="C14" s="4" t="s">
        <v>6</v>
      </c>
      <c r="D14" s="4">
        <f>SUM(D4:D13)</f>
        <v>3828</v>
      </c>
      <c r="E14" s="4">
        <f>SUM(E4:E13)</f>
        <v>603.20000000000005</v>
      </c>
      <c r="F14" s="4">
        <f>SUM(F4:F13)</f>
        <v>2540284</v>
      </c>
      <c r="G14" s="4">
        <f>SUM(G4:G13)</f>
        <v>411628.59999999998</v>
      </c>
      <c r="H14" s="4">
        <f>SUM(H4:H13)</f>
        <v>71267.119999999995</v>
      </c>
    </row>
    <row r="15" ht="14.25">
      <c r="D15" s="5" t="s">
        <v>7</v>
      </c>
      <c r="E15" s="5" t="s">
        <v>8</v>
      </c>
    </row>
    <row r="16" ht="14.25">
      <c r="D16" s="5">
        <f>AVERAGE(Table39[x])</f>
        <v>382.80000000000001</v>
      </c>
      <c r="E16" s="5">
        <f>AVERAGE(Table39[y])</f>
        <v>60.320000000000007</v>
      </c>
    </row>
    <row r="18" ht="14.25">
      <c r="B18" s="6"/>
      <c r="C18" s="6" t="s">
        <v>9</v>
      </c>
      <c r="D18" s="6" t="s">
        <v>10</v>
      </c>
      <c r="E18" s="6" t="s">
        <v>11</v>
      </c>
      <c r="F18" s="6" t="s">
        <v>12</v>
      </c>
    </row>
    <row r="19" ht="14.25">
      <c r="B19" s="6"/>
      <c r="C19" s="7">
        <f>Table40[[#All],[Column5]]</f>
        <v>411628.59999999998</v>
      </c>
      <c r="D19" s="6">
        <f>Table41[Xavg]</f>
        <v>382.80000000000001</v>
      </c>
      <c r="E19" s="6">
        <f>Table41[Yavg]</f>
        <v>60.320000000000007</v>
      </c>
      <c r="F19" s="6">
        <f>C19-(10*D19*E19)</f>
        <v>180723.63999999996</v>
      </c>
    </row>
    <row r="20" ht="14.25">
      <c r="B20" s="6"/>
      <c r="C20" s="6" t="s">
        <v>13</v>
      </c>
      <c r="D20" s="6" t="s">
        <v>14</v>
      </c>
      <c r="E20" s="6"/>
      <c r="F20" s="6" t="s">
        <v>15</v>
      </c>
      <c r="G20" s="8"/>
    </row>
    <row r="21" ht="14.25">
      <c r="B21" s="6"/>
      <c r="C21" s="6">
        <f>Table40[[#All],[Column4]]</f>
        <v>2540284</v>
      </c>
      <c r="D21" s="6">
        <f>D19*D19</f>
        <v>146535.84</v>
      </c>
      <c r="E21" s="6"/>
      <c r="F21" s="6">
        <f>C21-(10*D21)</f>
        <v>1074925.6000000001</v>
      </c>
      <c r="J21" s="2"/>
    </row>
    <row r="22" ht="14.25">
      <c r="B22" s="6" t="s">
        <v>16</v>
      </c>
      <c r="C22" s="6">
        <f>F19/F21</f>
        <v>0.16812664988162895</v>
      </c>
      <c r="D22" s="6"/>
      <c r="E22" s="6"/>
      <c r="F22" s="6"/>
    </row>
    <row r="24" ht="14.25">
      <c r="C24" t="s">
        <v>17</v>
      </c>
      <c r="D24" t="s">
        <v>18</v>
      </c>
      <c r="E24" t="s">
        <v>19</v>
      </c>
    </row>
    <row r="25" ht="14.25">
      <c r="C25">
        <f>Table41[Yavg]</f>
        <v>60.320000000000007</v>
      </c>
      <c r="D25">
        <f>C22</f>
        <v>0.16812664988162895</v>
      </c>
      <c r="E25">
        <f>Table41[Xavg]</f>
        <v>382.80000000000001</v>
      </c>
      <c r="F25" s="2"/>
    </row>
    <row r="26" ht="14.25">
      <c r="B26" t="s">
        <v>21</v>
      </c>
      <c r="C26">
        <f>C25-D25*E25</f>
        <v>-4.0388815746875508</v>
      </c>
    </row>
    <row r="27" ht="14.25">
      <c r="G27" t="s">
        <v>22</v>
      </c>
      <c r="H27" t="s">
        <v>23</v>
      </c>
      <c r="I27" t="s">
        <v>24</v>
      </c>
      <c r="K27" t="s">
        <v>25</v>
      </c>
    </row>
    <row r="28" ht="14.25">
      <c r="G28" s="11">
        <f>Table40[[#All],[Column5]]</f>
        <v>411628.59999999998</v>
      </c>
      <c r="H28" s="11">
        <f>Table40[[#All],[Column2]]</f>
        <v>3828</v>
      </c>
      <c r="I28" s="11">
        <f>Table40[[#All],[Column3]]</f>
        <v>603.20000000000005</v>
      </c>
      <c r="J28" s="11"/>
      <c r="K28" s="11">
        <f>10*(G28)-(H28)*(I28)</f>
        <v>1807236.3999999999</v>
      </c>
    </row>
    <row r="29" ht="14.25">
      <c r="B29" s="9" t="s">
        <v>21</v>
      </c>
      <c r="C29" s="10">
        <f>C26</f>
        <v>-4.0388815746875508</v>
      </c>
      <c r="G29" s="6" t="s">
        <v>26</v>
      </c>
      <c r="H29" s="6" t="s">
        <v>27</v>
      </c>
      <c r="I29" s="6" t="s">
        <v>28</v>
      </c>
      <c r="J29" s="6" t="s">
        <v>29</v>
      </c>
      <c r="K29" s="11"/>
    </row>
    <row r="30" ht="14.25">
      <c r="B30" s="10" t="s">
        <v>16</v>
      </c>
      <c r="C30" s="10">
        <f>C22</f>
        <v>0.16812664988162895</v>
      </c>
      <c r="G30" s="6">
        <f>Table40[[#All],[Column4]]</f>
        <v>2540284</v>
      </c>
      <c r="H30" s="6">
        <f>H28*H28</f>
        <v>14653584</v>
      </c>
      <c r="I30" s="6">
        <f>Table40[[#All],[Column6]]</f>
        <v>71267.119999999995</v>
      </c>
      <c r="J30" s="6">
        <f>I28*I28</f>
        <v>363850.24000000005</v>
      </c>
      <c r="K30" s="11"/>
    </row>
    <row r="31" ht="14.25">
      <c r="B31" s="10" t="s">
        <v>30</v>
      </c>
      <c r="C31" s="10">
        <v>386</v>
      </c>
      <c r="G31" s="6" t="s">
        <v>31</v>
      </c>
      <c r="H31" s="6" t="s">
        <v>32</v>
      </c>
      <c r="I31" s="6" t="s">
        <v>33</v>
      </c>
      <c r="J31" s="6" t="s">
        <v>34</v>
      </c>
      <c r="K31" s="11"/>
    </row>
    <row r="32" ht="14.25">
      <c r="B32" s="10" t="s">
        <v>35</v>
      </c>
      <c r="C32" s="10">
        <f>C29+C30*C31</f>
        <v>60.858005279621224</v>
      </c>
      <c r="G32" s="12">
        <f>10*G30-H30</f>
        <v>10749256</v>
      </c>
      <c r="H32" s="13">
        <f>10*I30-J30</f>
        <v>348820.9599999999</v>
      </c>
      <c r="I32" s="6">
        <f>G32*H32</f>
        <v>3749565797205.7588</v>
      </c>
      <c r="J32" s="6">
        <f>SQRT(G32*H32)</f>
        <v>1936379.5591788711</v>
      </c>
      <c r="K32" s="11"/>
    </row>
    <row r="33" ht="14.25">
      <c r="G33" s="14" t="s">
        <v>36</v>
      </c>
      <c r="H33" s="14">
        <f>K28/J32</f>
        <v>0.93330689814055112</v>
      </c>
    </row>
    <row r="34" ht="14.25">
      <c r="G34" s="14" t="s">
        <v>37</v>
      </c>
      <c r="H34" s="14">
        <f>H33*H33</f>
        <v>0.87106176611673702</v>
      </c>
    </row>
    <row r="35" ht="14.25">
      <c r="I35" s="2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11.00390625"/>
    <col customWidth="1" min="3" max="3" width="13.421875"/>
    <col customWidth="1" min="4" max="4" width="13.00390625"/>
    <col customWidth="1" min="5" max="5" width="11.28125"/>
    <col customWidth="1" min="6" max="6" width="25.00390625"/>
    <col customWidth="1" min="7" max="7" width="23.57421875"/>
    <col bestFit="1" customWidth="1" min="8" max="8" width="23.640625"/>
    <col bestFit="1" min="9" max="9" width="21.87109375"/>
    <col bestFit="1" min="10" max="10" width="12.61328125"/>
    <col bestFit="1" min="11" max="11" width="28.203125"/>
    <col bestFit="1" min="12" max="12" width="10.390625"/>
  </cols>
  <sheetData>
    <row r="3" ht="14.2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</row>
    <row r="4" ht="14.25">
      <c r="C4" s="1">
        <v>1</v>
      </c>
      <c r="D4" s="1">
        <v>163</v>
      </c>
      <c r="E4" s="1">
        <v>186</v>
      </c>
      <c r="F4" s="1">
        <v>26569</v>
      </c>
      <c r="G4" s="1">
        <v>30318</v>
      </c>
      <c r="H4" s="1">
        <v>34596</v>
      </c>
    </row>
    <row r="5" ht="14.25">
      <c r="C5" s="1">
        <v>2</v>
      </c>
      <c r="D5" s="1">
        <v>765</v>
      </c>
      <c r="E5" s="1">
        <v>699</v>
      </c>
      <c r="F5" s="1">
        <v>585225</v>
      </c>
      <c r="G5" s="1">
        <v>534735</v>
      </c>
      <c r="H5" s="1">
        <v>488601</v>
      </c>
    </row>
    <row r="6" ht="14.25">
      <c r="C6" s="1">
        <v>3</v>
      </c>
      <c r="D6" s="1">
        <v>141</v>
      </c>
      <c r="E6" s="1">
        <v>132</v>
      </c>
      <c r="F6" s="1">
        <v>19881</v>
      </c>
      <c r="G6" s="1">
        <v>18612</v>
      </c>
      <c r="H6" s="1">
        <v>17424</v>
      </c>
    </row>
    <row r="7" ht="14.25">
      <c r="C7" s="1">
        <v>4</v>
      </c>
      <c r="D7" s="1">
        <v>166</v>
      </c>
      <c r="E7" s="1">
        <v>272</v>
      </c>
      <c r="F7" s="1">
        <v>27556</v>
      </c>
      <c r="G7" s="1">
        <v>45152</v>
      </c>
      <c r="H7" s="1">
        <v>73984</v>
      </c>
    </row>
    <row r="8" ht="14.25">
      <c r="C8" s="1">
        <v>5</v>
      </c>
      <c r="D8" s="1">
        <v>137</v>
      </c>
      <c r="E8" s="1">
        <v>291</v>
      </c>
      <c r="F8" s="1">
        <v>18769</v>
      </c>
      <c r="G8" s="1">
        <v>39867</v>
      </c>
      <c r="H8" s="1">
        <v>84681</v>
      </c>
    </row>
    <row r="9" ht="14.25">
      <c r="C9" s="1">
        <v>6</v>
      </c>
      <c r="D9" s="1">
        <v>355</v>
      </c>
      <c r="E9" s="1">
        <v>331</v>
      </c>
      <c r="F9" s="1">
        <v>126025</v>
      </c>
      <c r="G9" s="1">
        <v>117505</v>
      </c>
      <c r="H9" s="1">
        <v>109561</v>
      </c>
    </row>
    <row r="10" ht="14.25">
      <c r="C10" s="1">
        <v>7</v>
      </c>
      <c r="D10" s="1">
        <v>136</v>
      </c>
      <c r="E10" s="1">
        <v>199</v>
      </c>
      <c r="F10" s="1">
        <v>18496</v>
      </c>
      <c r="G10" s="1">
        <v>27064</v>
      </c>
      <c r="H10" s="1">
        <v>39601</v>
      </c>
      <c r="K10" s="2"/>
    </row>
    <row r="11" ht="14.25">
      <c r="C11" s="1">
        <v>8</v>
      </c>
      <c r="D11" s="1">
        <v>1206</v>
      </c>
      <c r="E11" s="1">
        <v>1890</v>
      </c>
      <c r="F11" s="1">
        <v>1454436</v>
      </c>
      <c r="G11" s="1">
        <v>2279340</v>
      </c>
      <c r="H11" s="1">
        <v>3572100</v>
      </c>
    </row>
    <row r="12" ht="14.25">
      <c r="C12" s="1">
        <v>9</v>
      </c>
      <c r="D12" s="1">
        <v>433</v>
      </c>
      <c r="E12" s="1">
        <v>788</v>
      </c>
      <c r="F12" s="1">
        <v>187489</v>
      </c>
      <c r="G12" s="1">
        <v>341204</v>
      </c>
      <c r="H12" s="1">
        <v>620944</v>
      </c>
    </row>
    <row r="13" ht="14.25">
      <c r="C13" s="3">
        <v>10</v>
      </c>
      <c r="D13" s="3">
        <v>1130</v>
      </c>
      <c r="E13" s="3">
        <v>1601</v>
      </c>
      <c r="F13" s="3">
        <v>1276900</v>
      </c>
      <c r="G13" s="3">
        <v>1809130</v>
      </c>
      <c r="H13" s="3">
        <v>2563201</v>
      </c>
    </row>
    <row r="14" ht="14.25">
      <c r="C14" s="4" t="s">
        <v>6</v>
      </c>
      <c r="D14" s="4">
        <f>SUM(D4:D13)</f>
        <v>4632</v>
      </c>
      <c r="E14" s="4">
        <f>SUM(E4:E13)</f>
        <v>6389</v>
      </c>
      <c r="F14" s="4">
        <f>SUM(F4:F13)</f>
        <v>3741346</v>
      </c>
      <c r="G14" s="4">
        <f>SUM(G4:G13)</f>
        <v>5242927</v>
      </c>
      <c r="H14" s="4">
        <f>SUM(H4:H13)</f>
        <v>7604693</v>
      </c>
    </row>
    <row r="15" ht="14.25">
      <c r="D15" s="5" t="s">
        <v>7</v>
      </c>
      <c r="E15" s="5" t="s">
        <v>8</v>
      </c>
    </row>
    <row r="16" ht="14.25">
      <c r="D16" s="5">
        <f>AVERAGE(Table48[x])</f>
        <v>463.19999999999999</v>
      </c>
      <c r="E16" s="5">
        <f>AVERAGE(Table48[y])</f>
        <v>638.89999999999998</v>
      </c>
    </row>
    <row r="18" ht="14.25">
      <c r="B18" s="6"/>
      <c r="C18" s="6" t="s">
        <v>9</v>
      </c>
      <c r="D18" s="6" t="s">
        <v>10</v>
      </c>
      <c r="E18" s="6" t="s">
        <v>11</v>
      </c>
      <c r="F18" s="6" t="s">
        <v>12</v>
      </c>
    </row>
    <row r="19" ht="14.25">
      <c r="B19" s="6"/>
      <c r="C19" s="7">
        <f>Table49[[#All],[Column5]]</f>
        <v>5242927</v>
      </c>
      <c r="D19" s="6">
        <f>Table50[Xavg]</f>
        <v>463.19999999999999</v>
      </c>
      <c r="E19" s="6">
        <f>Table50[Yavg]</f>
        <v>638.89999999999998</v>
      </c>
      <c r="F19" s="6">
        <f>C19-(10*D19*E19)</f>
        <v>2283542.2000000002</v>
      </c>
    </row>
    <row r="20" ht="14.25">
      <c r="B20" s="6"/>
      <c r="C20" s="6" t="s">
        <v>13</v>
      </c>
      <c r="D20" s="6" t="s">
        <v>14</v>
      </c>
      <c r="E20" s="6"/>
      <c r="F20" s="6" t="s">
        <v>15</v>
      </c>
      <c r="G20" s="8"/>
    </row>
    <row r="21" ht="14.25">
      <c r="B21" s="6"/>
      <c r="C21" s="6">
        <f>Table49[[#All],[Column4]]</f>
        <v>3741346</v>
      </c>
      <c r="D21" s="6">
        <f>D19*D19</f>
        <v>214554.23999999999</v>
      </c>
      <c r="E21" s="6"/>
      <c r="F21" s="6">
        <f>C21-(10*D21)</f>
        <v>1595803.6000000001</v>
      </c>
      <c r="J21" s="2"/>
    </row>
    <row r="22" ht="14.25">
      <c r="B22" s="6" t="s">
        <v>16</v>
      </c>
      <c r="C22" s="6">
        <f>F19/F21</f>
        <v>1.4309669435511989</v>
      </c>
      <c r="D22" s="6"/>
      <c r="E22" s="6"/>
      <c r="F22" s="6"/>
    </row>
    <row r="24" ht="14.25">
      <c r="C24" t="s">
        <v>17</v>
      </c>
      <c r="D24" t="s">
        <v>18</v>
      </c>
      <c r="E24" t="s">
        <v>19</v>
      </c>
    </row>
    <row r="25" ht="14.25">
      <c r="C25">
        <f>Table50[Yavg]</f>
        <v>638.89999999999998</v>
      </c>
      <c r="D25">
        <f>C22</f>
        <v>1.4309669435511989</v>
      </c>
      <c r="E25">
        <f>Table50[Xavg]</f>
        <v>463.19999999999999</v>
      </c>
      <c r="F25" s="2"/>
    </row>
    <row r="26" ht="14.25">
      <c r="B26" t="s">
        <v>21</v>
      </c>
      <c r="C26">
        <f>C25-D25*E25</f>
        <v>-23.92388825291539</v>
      </c>
    </row>
    <row r="27" ht="14.25">
      <c r="G27" t="s">
        <v>22</v>
      </c>
      <c r="H27" t="s">
        <v>23</v>
      </c>
      <c r="I27" t="s">
        <v>24</v>
      </c>
      <c r="K27" t="s">
        <v>25</v>
      </c>
    </row>
    <row r="28" ht="14.25">
      <c r="G28" s="11">
        <f>Table49[[#All],[Column5]]</f>
        <v>5242927</v>
      </c>
      <c r="H28" s="11">
        <f>Table49[[#All],[Column2]]</f>
        <v>4632</v>
      </c>
      <c r="I28" s="11">
        <f>Table49[[#All],[Column3]]</f>
        <v>6389</v>
      </c>
      <c r="J28" s="11"/>
      <c r="K28" s="11">
        <f>10*(G28)-(H28)*(I28)</f>
        <v>22835422</v>
      </c>
    </row>
    <row r="29" ht="14.25">
      <c r="B29" s="9" t="s">
        <v>21</v>
      </c>
      <c r="C29" s="10">
        <f>C26</f>
        <v>-23.92388825291539</v>
      </c>
      <c r="G29" s="6" t="s">
        <v>26</v>
      </c>
      <c r="H29" s="6" t="s">
        <v>27</v>
      </c>
      <c r="I29" s="6" t="s">
        <v>28</v>
      </c>
      <c r="J29" s="6" t="s">
        <v>29</v>
      </c>
      <c r="K29" s="11"/>
    </row>
    <row r="30" ht="14.25">
      <c r="B30" s="10" t="s">
        <v>16</v>
      </c>
      <c r="C30" s="10">
        <f>C22</f>
        <v>1.4309669435511989</v>
      </c>
      <c r="G30" s="6">
        <f>Table49[[#All],[Column4]]</f>
        <v>3741346</v>
      </c>
      <c r="H30" s="6">
        <f>H28*H28</f>
        <v>21455424</v>
      </c>
      <c r="I30" s="6">
        <f>Table49[[#All],[Column6]]</f>
        <v>7604693</v>
      </c>
      <c r="J30" s="6">
        <f>I28*I28</f>
        <v>40819321</v>
      </c>
      <c r="K30" s="11"/>
    </row>
    <row r="31" ht="14.25">
      <c r="B31" s="10" t="s">
        <v>30</v>
      </c>
      <c r="C31" s="10">
        <v>386</v>
      </c>
      <c r="G31" s="6" t="s">
        <v>31</v>
      </c>
      <c r="H31" s="6" t="s">
        <v>32</v>
      </c>
      <c r="I31" s="6" t="s">
        <v>33</v>
      </c>
      <c r="J31" s="6" t="s">
        <v>34</v>
      </c>
      <c r="K31" s="11"/>
    </row>
    <row r="32" ht="14.25">
      <c r="B32" s="10" t="s">
        <v>35</v>
      </c>
      <c r="C32" s="10">
        <f>C29+C30*C31</f>
        <v>528.42935195784742</v>
      </c>
      <c r="G32" s="12">
        <f>10*G30-H30</f>
        <v>15958036</v>
      </c>
      <c r="H32" s="13">
        <f>10*I30-J30</f>
        <v>35227609</v>
      </c>
      <c r="I32" s="6">
        <f>G32*H32</f>
        <v>562163452615924</v>
      </c>
      <c r="J32" s="6">
        <f>SQRT(G32*H32)</f>
        <v>23709986.347864565</v>
      </c>
      <c r="K32" s="11"/>
    </row>
    <row r="33" ht="14.25">
      <c r="G33" s="14" t="s">
        <v>36</v>
      </c>
      <c r="H33" s="14">
        <f>K28/J32</f>
        <v>0.96311409314905272</v>
      </c>
    </row>
    <row r="34" ht="14.25">
      <c r="G34" s="14" t="s">
        <v>37</v>
      </c>
      <c r="H34" s="14">
        <f>H33*H33</f>
        <v>0.92758875642232219</v>
      </c>
    </row>
    <row r="35" ht="14.25">
      <c r="I35" s="2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11.00390625"/>
    <col customWidth="1" min="3" max="3" width="13.421875"/>
    <col customWidth="1" min="4" max="4" width="13.00390625"/>
    <col customWidth="1" min="5" max="5" width="11.28125"/>
    <col customWidth="1" min="6" max="6" width="25.00390625"/>
    <col customWidth="1" min="7" max="7" width="23.57421875"/>
    <col bestFit="1" customWidth="1" min="8" max="8" width="23.640625"/>
    <col bestFit="1" min="9" max="9" width="21.87109375"/>
    <col bestFit="1" min="10" max="10" width="12.61328125"/>
    <col bestFit="1" min="11" max="11" width="28.203125"/>
    <col bestFit="1" min="12" max="12" width="10.390625"/>
  </cols>
  <sheetData>
    <row r="3" ht="14.2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</row>
    <row r="4" ht="14.25">
      <c r="C4" s="1">
        <v>1</v>
      </c>
      <c r="D4" s="1">
        <v>163</v>
      </c>
      <c r="E4" s="1">
        <v>15</v>
      </c>
      <c r="F4" s="1">
        <f t="shared" ref="F4:F9" si="6">D4^2</f>
        <v>26569</v>
      </c>
      <c r="G4" s="1">
        <f t="shared" ref="G4:G9" si="7">D4*E4</f>
        <v>2445</v>
      </c>
      <c r="H4" s="1">
        <f t="shared" ref="H4:H9" si="8">E4^2</f>
        <v>225</v>
      </c>
    </row>
    <row r="5" ht="14.25">
      <c r="C5" s="1">
        <v>2</v>
      </c>
      <c r="D5" s="1">
        <v>765</v>
      </c>
      <c r="E5" s="1">
        <v>69.900000000000006</v>
      </c>
      <c r="F5" s="1">
        <f t="shared" si="6"/>
        <v>585225</v>
      </c>
      <c r="G5" s="1">
        <f t="shared" si="7"/>
        <v>53473.500000000007</v>
      </c>
      <c r="H5" s="1">
        <f t="shared" si="8"/>
        <v>4886.0100000000011</v>
      </c>
    </row>
    <row r="6" ht="14.25">
      <c r="C6" s="1">
        <v>3</v>
      </c>
      <c r="D6" s="1">
        <v>141</v>
      </c>
      <c r="E6" s="1">
        <v>6.5</v>
      </c>
      <c r="F6" s="1">
        <f t="shared" si="6"/>
        <v>19881</v>
      </c>
      <c r="G6" s="1">
        <f t="shared" si="7"/>
        <v>916.5</v>
      </c>
      <c r="H6" s="1">
        <f t="shared" si="8"/>
        <v>42.25</v>
      </c>
    </row>
    <row r="7" ht="14.25">
      <c r="C7" s="1">
        <v>4</v>
      </c>
      <c r="D7" s="1">
        <v>166</v>
      </c>
      <c r="E7" s="1">
        <v>22.399999999999999</v>
      </c>
      <c r="F7" s="1">
        <f t="shared" si="6"/>
        <v>27556</v>
      </c>
      <c r="G7" s="1">
        <f t="shared" si="7"/>
        <v>3718.3999999999996</v>
      </c>
      <c r="H7" s="1">
        <f t="shared" si="8"/>
        <v>501.75999999999993</v>
      </c>
    </row>
    <row r="8" ht="14.25">
      <c r="C8" s="1">
        <v>5</v>
      </c>
      <c r="D8" s="1">
        <v>137</v>
      </c>
      <c r="E8" s="1">
        <v>28.399999999999999</v>
      </c>
      <c r="F8" s="1">
        <f t="shared" si="6"/>
        <v>18769</v>
      </c>
      <c r="G8" s="1">
        <f t="shared" si="7"/>
        <v>3890.7999999999997</v>
      </c>
      <c r="H8" s="1">
        <f t="shared" si="8"/>
        <v>806.55999999999995</v>
      </c>
    </row>
    <row r="9" ht="14.25">
      <c r="C9" s="1">
        <v>6</v>
      </c>
      <c r="D9" s="1">
        <v>355</v>
      </c>
      <c r="E9" s="1">
        <v>65.900000000000006</v>
      </c>
      <c r="F9" s="1">
        <f t="shared" si="6"/>
        <v>126025</v>
      </c>
      <c r="G9" s="1">
        <f t="shared" si="7"/>
        <v>23394.500000000004</v>
      </c>
      <c r="H9" s="1">
        <f t="shared" si="8"/>
        <v>4342.8100000000004</v>
      </c>
    </row>
    <row r="10" ht="14.25">
      <c r="C10" s="1">
        <v>7</v>
      </c>
      <c r="D10" s="1">
        <v>136</v>
      </c>
      <c r="E10" s="1">
        <v>19.399999999999999</v>
      </c>
      <c r="F10" s="1">
        <f t="shared" ref="F10:F13" si="9">D10^2</f>
        <v>18496</v>
      </c>
      <c r="G10" s="1">
        <f t="shared" ref="G10:G13" si="10">D10*E10</f>
        <v>2638.3999999999996</v>
      </c>
      <c r="H10" s="1">
        <f t="shared" ref="H10:H13" si="11">E10^2</f>
        <v>376.35999999999996</v>
      </c>
      <c r="K10" s="2"/>
    </row>
    <row r="11" ht="14.25">
      <c r="C11" s="1">
        <v>8</v>
      </c>
      <c r="D11" s="1">
        <v>1206</v>
      </c>
      <c r="E11" s="1">
        <v>198.69999999999999</v>
      </c>
      <c r="F11" s="1">
        <f t="shared" si="9"/>
        <v>1454436</v>
      </c>
      <c r="G11" s="1">
        <f t="shared" si="10"/>
        <v>239632.19999999998</v>
      </c>
      <c r="H11" s="1">
        <f t="shared" si="11"/>
        <v>39481.689999999995</v>
      </c>
    </row>
    <row r="12" ht="14.25">
      <c r="C12" s="1">
        <v>9</v>
      </c>
      <c r="D12" s="1">
        <v>433</v>
      </c>
      <c r="E12" s="1">
        <v>38.799999999999997</v>
      </c>
      <c r="F12" s="1">
        <f t="shared" si="9"/>
        <v>187489</v>
      </c>
      <c r="G12" s="1">
        <f t="shared" si="10"/>
        <v>16800.399999999998</v>
      </c>
      <c r="H12" s="1">
        <f t="shared" si="11"/>
        <v>1505.4399999999998</v>
      </c>
    </row>
    <row r="13" ht="14.25">
      <c r="C13" s="3">
        <v>10</v>
      </c>
      <c r="D13" s="3">
        <v>1130</v>
      </c>
      <c r="E13" s="3">
        <v>138.19999999999999</v>
      </c>
      <c r="F13" s="3">
        <f t="shared" si="9"/>
        <v>1276900</v>
      </c>
      <c r="G13" s="3">
        <f t="shared" si="10"/>
        <v>156166</v>
      </c>
      <c r="H13" s="3">
        <f t="shared" si="11"/>
        <v>19099.239999999998</v>
      </c>
    </row>
    <row r="14" ht="14.25">
      <c r="C14" s="4" t="s">
        <v>6</v>
      </c>
      <c r="D14" s="4">
        <f>SUM(D4:D13)</f>
        <v>4632</v>
      </c>
      <c r="E14" s="4">
        <f>SUM(E4:E13)</f>
        <v>603.20000000000005</v>
      </c>
      <c r="F14" s="4">
        <f>SUM(F4:F13)</f>
        <v>3741346</v>
      </c>
      <c r="G14" s="4">
        <f>SUM(G4:G13)</f>
        <v>503075.70000000001</v>
      </c>
      <c r="H14" s="4">
        <f>SUM(H4:H13)</f>
        <v>71267.119999999995</v>
      </c>
    </row>
    <row r="15" ht="14.25">
      <c r="D15" s="5" t="s">
        <v>7</v>
      </c>
      <c r="E15" s="5" t="s">
        <v>8</v>
      </c>
    </row>
    <row r="16" ht="14.25">
      <c r="D16" s="5">
        <f>AVERAGE(Table57[x])</f>
        <v>463.19999999999999</v>
      </c>
      <c r="E16" s="5">
        <f>AVERAGE(Table57[y])</f>
        <v>60.320000000000007</v>
      </c>
    </row>
    <row r="18" ht="14.25">
      <c r="B18" s="6"/>
      <c r="C18" s="6" t="s">
        <v>9</v>
      </c>
      <c r="D18" s="6" t="s">
        <v>10</v>
      </c>
      <c r="E18" s="6" t="s">
        <v>11</v>
      </c>
      <c r="F18" s="6" t="s">
        <v>12</v>
      </c>
    </row>
    <row r="19" ht="14.25">
      <c r="B19" s="6"/>
      <c r="C19" s="7">
        <f>Table58[[#All],[Column5]]</f>
        <v>503075.70000000001</v>
      </c>
      <c r="D19" s="6">
        <f>Table59[Xavg]</f>
        <v>463.19999999999999</v>
      </c>
      <c r="E19" s="6">
        <f>Table59[Yavg]</f>
        <v>60.320000000000007</v>
      </c>
      <c r="F19" s="6">
        <f>C19-(10*D19*E19)</f>
        <v>223673.45999999996</v>
      </c>
    </row>
    <row r="20" ht="14.25">
      <c r="B20" s="6"/>
      <c r="C20" s="6" t="s">
        <v>13</v>
      </c>
      <c r="D20" s="6" t="s">
        <v>14</v>
      </c>
      <c r="E20" s="6"/>
      <c r="F20" s="6" t="s">
        <v>15</v>
      </c>
      <c r="G20" s="8"/>
    </row>
    <row r="21" ht="14.25">
      <c r="B21" s="6"/>
      <c r="C21" s="6">
        <f>Table58[[#All],[Column4]]</f>
        <v>3741346</v>
      </c>
      <c r="D21" s="6">
        <f>D19*D19</f>
        <v>214554.23999999999</v>
      </c>
      <c r="E21" s="6"/>
      <c r="F21" s="6">
        <f>C21-(10*D21)</f>
        <v>1595803.6000000001</v>
      </c>
      <c r="J21" s="2"/>
    </row>
    <row r="22" ht="14.25">
      <c r="B22" s="6" t="s">
        <v>16</v>
      </c>
      <c r="C22" s="6">
        <f>F19/F21</f>
        <v>0.14016352638883628</v>
      </c>
      <c r="D22" s="6"/>
      <c r="E22" s="6"/>
      <c r="F22" s="6"/>
    </row>
    <row r="24" ht="14.25">
      <c r="C24" t="s">
        <v>17</v>
      </c>
      <c r="D24" t="s">
        <v>18</v>
      </c>
      <c r="E24" t="s">
        <v>19</v>
      </c>
    </row>
    <row r="25" ht="14.25">
      <c r="C25">
        <f>Table59[Yavg]</f>
        <v>60.320000000000007</v>
      </c>
      <c r="D25">
        <f>C22</f>
        <v>0.14016352638883628</v>
      </c>
      <c r="E25">
        <f>Table59[Xavg]</f>
        <v>463.19999999999999</v>
      </c>
      <c r="F25" s="2"/>
    </row>
    <row r="26" ht="14.25">
      <c r="B26" t="s">
        <v>21</v>
      </c>
      <c r="C26">
        <f>C25-D25*E25</f>
        <v>-4.6037454233089505</v>
      </c>
    </row>
    <row r="27" ht="14.25">
      <c r="G27" t="s">
        <v>22</v>
      </c>
      <c r="H27" t="s">
        <v>23</v>
      </c>
      <c r="I27" t="s">
        <v>24</v>
      </c>
      <c r="K27" t="s">
        <v>25</v>
      </c>
    </row>
    <row r="28" ht="14.25">
      <c r="G28" s="11">
        <f>Table58[[#All],[Column5]]</f>
        <v>503075.70000000001</v>
      </c>
      <c r="H28" s="11">
        <f>Table58[[#All],[Column2]]</f>
        <v>4632</v>
      </c>
      <c r="I28" s="11">
        <f>Table58[[#All],[Column3]]</f>
        <v>603.20000000000005</v>
      </c>
      <c r="J28" s="11"/>
      <c r="K28" s="11">
        <f>10*(G28)-(H28)*(I28)</f>
        <v>2236734.5999999996</v>
      </c>
    </row>
    <row r="29" ht="14.25">
      <c r="B29" s="9" t="s">
        <v>21</v>
      </c>
      <c r="C29" s="10">
        <f>C26</f>
        <v>-4.6037454233089505</v>
      </c>
      <c r="G29" s="6" t="s">
        <v>26</v>
      </c>
      <c r="H29" s="6" t="s">
        <v>27</v>
      </c>
      <c r="I29" s="6" t="s">
        <v>28</v>
      </c>
      <c r="J29" s="6" t="s">
        <v>29</v>
      </c>
      <c r="K29" s="11"/>
    </row>
    <row r="30" ht="14.25">
      <c r="B30" s="10" t="s">
        <v>16</v>
      </c>
      <c r="C30" s="10">
        <f>C22</f>
        <v>0.14016352638883628</v>
      </c>
      <c r="G30" s="6">
        <f>Table58[[#All],[Column4]]</f>
        <v>3741346</v>
      </c>
      <c r="H30" s="6">
        <f>H28*H28</f>
        <v>21455424</v>
      </c>
      <c r="I30" s="6">
        <f>Table58[[#All],[Column6]]</f>
        <v>71267.119999999995</v>
      </c>
      <c r="J30" s="6">
        <f>I28*I28</f>
        <v>363850.24000000005</v>
      </c>
      <c r="K30" s="11"/>
    </row>
    <row r="31" ht="14.25">
      <c r="B31" s="10" t="s">
        <v>30</v>
      </c>
      <c r="C31" s="10">
        <v>386</v>
      </c>
      <c r="G31" s="6" t="s">
        <v>31</v>
      </c>
      <c r="H31" s="6" t="s">
        <v>32</v>
      </c>
      <c r="I31" s="6" t="s">
        <v>33</v>
      </c>
      <c r="J31" s="6" t="s">
        <v>34</v>
      </c>
      <c r="K31" s="11"/>
    </row>
    <row r="32" ht="14.25">
      <c r="B32" s="10" t="s">
        <v>35</v>
      </c>
      <c r="C32" s="10">
        <f>C29+C30*C31</f>
        <v>49.499375762781852</v>
      </c>
      <c r="G32" s="12">
        <f>10*G30-H30</f>
        <v>15958036</v>
      </c>
      <c r="H32" s="13">
        <f>10*I30-J30</f>
        <v>348820.9599999999</v>
      </c>
      <c r="I32" s="6">
        <f>G32*H32</f>
        <v>5566497437234.5586</v>
      </c>
      <c r="J32" s="6">
        <f>SQRT(G32*H32)</f>
        <v>2359342.5858138022</v>
      </c>
      <c r="K32" s="11"/>
    </row>
    <row r="33" ht="14.25">
      <c r="G33" s="14" t="s">
        <v>36</v>
      </c>
      <c r="H33" s="14">
        <f>K28/J32</f>
        <v>0.94803298743005071</v>
      </c>
    </row>
    <row r="34" ht="14.25">
      <c r="G34" s="14" t="s">
        <v>37</v>
      </c>
      <c r="H34" s="14">
        <f>H33*H33</f>
        <v>0.89876654525554667</v>
      </c>
    </row>
    <row r="35" ht="14.25">
      <c r="I35" s="2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9</cp:revision>
  <dcterms:modified xsi:type="dcterms:W3CDTF">2025-12-03T06:54:17Z</dcterms:modified>
</cp:coreProperties>
</file>